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SI\PASEBAN\"/>
    </mc:Choice>
  </mc:AlternateContent>
  <xr:revisionPtr revIDLastSave="0" documentId="13_ncr:1_{16CD2676-306A-4B89-B0C7-E31F2CF744A6}" xr6:coauthVersionLast="47" xr6:coauthVersionMax="47" xr10:uidLastSave="{00000000-0000-0000-0000-000000000000}"/>
  <bookViews>
    <workbookView xWindow="-108" yWindow="-108" windowWidth="23256" windowHeight="12456" xr2:uid="{4622A9F9-75D2-4E47-A1EB-1CF3CE932579}"/>
  </bookViews>
  <sheets>
    <sheet name="Sheet1" sheetId="1" r:id="rId1"/>
  </sheets>
  <externalReferences>
    <externalReference r:id="rId2"/>
  </externalReferences>
  <definedNames>
    <definedName name="_xlnm.Print_Area" localSheetId="0">Sheet1!$A$1:$BE$143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47" i="1" l="1"/>
  <c r="AG146" i="1"/>
  <c r="AA142" i="1"/>
  <c r="Y142" i="1" l="1"/>
  <c r="Z142" i="1"/>
  <c r="Q142" i="1"/>
  <c r="R142" i="1"/>
  <c r="S142" i="1"/>
  <c r="T142" i="1"/>
  <c r="U142" i="1"/>
  <c r="V142" i="1"/>
  <c r="W142" i="1"/>
  <c r="X142" i="1"/>
  <c r="P142" i="1"/>
  <c r="AY119" i="1"/>
  <c r="AX119" i="1"/>
  <c r="AW119" i="1"/>
  <c r="AY118" i="1"/>
  <c r="AX118" i="1"/>
  <c r="AW118" i="1"/>
  <c r="AY117" i="1"/>
  <c r="AX117" i="1"/>
  <c r="AW117" i="1"/>
  <c r="AY116" i="1"/>
  <c r="AX116" i="1"/>
  <c r="AW116" i="1"/>
  <c r="AV118" i="1"/>
  <c r="AV117" i="1"/>
  <c r="AV116" i="1"/>
  <c r="AY121" i="1"/>
  <c r="AX121" i="1"/>
  <c r="AW121" i="1"/>
  <c r="AY120" i="1"/>
  <c r="AX120" i="1"/>
  <c r="AW120" i="1"/>
  <c r="AY115" i="1"/>
  <c r="AX115" i="1"/>
  <c r="AW115" i="1"/>
  <c r="AV121" i="1"/>
  <c r="AV120" i="1"/>
  <c r="AV119" i="1"/>
  <c r="AV115" i="1"/>
  <c r="AY114" i="1"/>
  <c r="AX114" i="1"/>
  <c r="AW114" i="1"/>
  <c r="AV114" i="1"/>
  <c r="AY61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Z140" i="1"/>
  <c r="BA140" i="1"/>
  <c r="BB140" i="1"/>
  <c r="BC140" i="1"/>
  <c r="BD140" i="1"/>
  <c r="BE140" i="1"/>
  <c r="O140" i="1"/>
  <c r="N140" i="1"/>
  <c r="AT125" i="1"/>
  <c r="AU125" i="1"/>
  <c r="AT126" i="1"/>
  <c r="AU126" i="1"/>
  <c r="AT127" i="1"/>
  <c r="AU127" i="1"/>
  <c r="AT128" i="1"/>
  <c r="AU128" i="1"/>
  <c r="AT129" i="1"/>
  <c r="AU129" i="1"/>
  <c r="AT130" i="1"/>
  <c r="AU130" i="1"/>
  <c r="AS130" i="1"/>
  <c r="AS129" i="1"/>
  <c r="AS128" i="1"/>
  <c r="AS127" i="1"/>
  <c r="AS126" i="1"/>
  <c r="AS125" i="1"/>
  <c r="AS124" i="1"/>
  <c r="AT124" i="1"/>
  <c r="AU124" i="1"/>
  <c r="J121" i="1"/>
  <c r="J120" i="1"/>
  <c r="J119" i="1"/>
  <c r="J118" i="1"/>
  <c r="J117" i="1"/>
  <c r="J116" i="1"/>
  <c r="J115" i="1"/>
  <c r="J114" i="1"/>
  <c r="J113" i="1"/>
  <c r="I121" i="1"/>
  <c r="I120" i="1"/>
  <c r="I119" i="1"/>
  <c r="I118" i="1"/>
  <c r="I117" i="1"/>
  <c r="I116" i="1"/>
  <c r="I115" i="1"/>
  <c r="I114" i="1"/>
  <c r="I113" i="1"/>
  <c r="J110" i="1"/>
  <c r="J109" i="1"/>
  <c r="J108" i="1"/>
  <c r="J107" i="1"/>
  <c r="J106" i="1"/>
  <c r="I110" i="1"/>
  <c r="I109" i="1"/>
  <c r="I108" i="1"/>
  <c r="I107" i="1"/>
  <c r="I106" i="1"/>
  <c r="BC107" i="1"/>
  <c r="BD107" i="1"/>
  <c r="BC108" i="1"/>
  <c r="BD108" i="1"/>
  <c r="BC109" i="1"/>
  <c r="BD109" i="1"/>
  <c r="BB109" i="1"/>
  <c r="BB108" i="1"/>
  <c r="BB107" i="1"/>
  <c r="BE110" i="1"/>
  <c r="BC106" i="1"/>
  <c r="BD106" i="1"/>
  <c r="BB106" i="1"/>
  <c r="AN79" i="1"/>
  <c r="AO79" i="1"/>
  <c r="AP79" i="1"/>
  <c r="AN76" i="1"/>
  <c r="AO76" i="1"/>
  <c r="AP76" i="1"/>
  <c r="J103" i="1"/>
  <c r="J102" i="1"/>
  <c r="J101" i="1"/>
  <c r="I103" i="1"/>
  <c r="I102" i="1"/>
  <c r="I101" i="1"/>
  <c r="BC103" i="1"/>
  <c r="BB103" i="1"/>
  <c r="BC102" i="1"/>
  <c r="BB102" i="1"/>
  <c r="BC101" i="1"/>
  <c r="BB101" i="1"/>
  <c r="J98" i="1"/>
  <c r="I98" i="1"/>
  <c r="AU98" i="1"/>
  <c r="AV98" i="1"/>
  <c r="AT98" i="1"/>
  <c r="J97" i="1"/>
  <c r="I97" i="1"/>
  <c r="AU97" i="1"/>
  <c r="AV97" i="1"/>
  <c r="AW97" i="1"/>
  <c r="AX97" i="1"/>
  <c r="AY97" i="1"/>
  <c r="AZ97" i="1"/>
  <c r="AT97" i="1"/>
  <c r="J96" i="1"/>
  <c r="I96" i="1"/>
  <c r="BB96" i="1"/>
  <c r="BA96" i="1"/>
  <c r="J95" i="1"/>
  <c r="I95" i="1"/>
  <c r="J94" i="1"/>
  <c r="I94" i="1"/>
  <c r="J93" i="1"/>
  <c r="I93" i="1"/>
  <c r="BA93" i="1"/>
  <c r="BB93" i="1"/>
  <c r="AZ93" i="1"/>
  <c r="AU95" i="1"/>
  <c r="AV95" i="1"/>
  <c r="AT95" i="1"/>
  <c r="AX94" i="1"/>
  <c r="AY94" i="1"/>
  <c r="AW94" i="1"/>
  <c r="J83" i="1"/>
  <c r="J82" i="1"/>
  <c r="J81" i="1"/>
  <c r="I83" i="1"/>
  <c r="I82" i="1"/>
  <c r="I81" i="1"/>
  <c r="J80" i="1"/>
  <c r="I80" i="1"/>
  <c r="J79" i="1"/>
  <c r="I79" i="1"/>
  <c r="J78" i="1"/>
  <c r="I78" i="1"/>
  <c r="J77" i="1"/>
  <c r="I77" i="1"/>
  <c r="J76" i="1"/>
  <c r="I76" i="1"/>
  <c r="AV90" i="1"/>
  <c r="AS89" i="1"/>
  <c r="AT89" i="1"/>
  <c r="AU89" i="1"/>
  <c r="AV89" i="1"/>
  <c r="AR89" i="1"/>
  <c r="AV88" i="1"/>
  <c r="AU87" i="1"/>
  <c r="AT87" i="1"/>
  <c r="AS86" i="1"/>
  <c r="AR86" i="1"/>
  <c r="AQ80" i="1"/>
  <c r="AQ78" i="1"/>
  <c r="AQ77" i="1"/>
  <c r="J56" i="1"/>
  <c r="I56" i="1"/>
  <c r="J61" i="1"/>
  <c r="I61" i="1"/>
  <c r="J63" i="1"/>
  <c r="I63" i="1"/>
  <c r="J66" i="1"/>
  <c r="I66" i="1"/>
  <c r="J67" i="1"/>
  <c r="I67" i="1"/>
  <c r="J68" i="1"/>
  <c r="I68" i="1"/>
  <c r="J71" i="1"/>
  <c r="I71" i="1"/>
  <c r="BA83" i="1"/>
  <c r="AZ83" i="1"/>
  <c r="BA82" i="1"/>
  <c r="AZ82" i="1"/>
  <c r="BA81" i="1"/>
  <c r="AZ81" i="1"/>
  <c r="AX71" i="1"/>
  <c r="AY71" i="1"/>
  <c r="AW71" i="1"/>
  <c r="AX66" i="1"/>
  <c r="AY66" i="1"/>
  <c r="AW66" i="1"/>
  <c r="BB68" i="1"/>
  <c r="BA68" i="1"/>
  <c r="BB63" i="1"/>
  <c r="BA63" i="1"/>
  <c r="AZ61" i="1"/>
  <c r="BC56" i="1"/>
  <c r="BB56" i="1"/>
  <c r="I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U133" i="1"/>
  <c r="T113" i="1"/>
  <c r="S113" i="1"/>
  <c r="AF73" i="1"/>
  <c r="AF72" i="1"/>
  <c r="AE70" i="1"/>
  <c r="AD70" i="1"/>
  <c r="AI67" i="1"/>
  <c r="AI65" i="1"/>
  <c r="AH65" i="1"/>
  <c r="AK62" i="1"/>
  <c r="AK60" i="1"/>
  <c r="AJ60" i="1"/>
  <c r="AE55" i="1"/>
  <c r="AD55" i="1"/>
  <c r="AC55" i="1"/>
  <c r="AC52" i="1"/>
  <c r="AC53" i="1"/>
  <c r="AA53" i="1"/>
  <c r="AB53" i="1"/>
  <c r="Z53" i="1"/>
  <c r="AA52" i="1"/>
  <c r="AB52" i="1"/>
  <c r="Z52" i="1"/>
  <c r="AI50" i="1"/>
  <c r="T49" i="1"/>
  <c r="U49" i="1"/>
  <c r="S49" i="1"/>
  <c r="AD45" i="1"/>
  <c r="AE44" i="1"/>
  <c r="AB41" i="1"/>
  <c r="AC41" i="1"/>
  <c r="AD41" i="1"/>
  <c r="AA41" i="1"/>
  <c r="Z40" i="1"/>
  <c r="Y42" i="1"/>
  <c r="Z42" i="1" s="1"/>
  <c r="Z39" i="1"/>
  <c r="Z37" i="1"/>
  <c r="AA37" i="1" s="1"/>
  <c r="AB37" i="1" s="1"/>
  <c r="T35" i="1"/>
  <c r="U35" i="1"/>
  <c r="S35" i="1"/>
  <c r="S34" i="1"/>
  <c r="S33" i="1"/>
  <c r="R31" i="1"/>
  <c r="S31" i="1" s="1"/>
  <c r="Q30" i="1"/>
  <c r="R30" i="1"/>
  <c r="S30" i="1"/>
  <c r="P30" i="1"/>
  <c r="Q26" i="1"/>
  <c r="Q25" i="1"/>
  <c r="Q24" i="1"/>
  <c r="P24" i="1"/>
  <c r="P22" i="1"/>
  <c r="O22" i="1"/>
  <c r="N22" i="1"/>
  <c r="AW140" i="1" l="1"/>
  <c r="AX140" i="1"/>
  <c r="AY140" i="1"/>
  <c r="AV140" i="1"/>
  <c r="T30" i="1"/>
  <c r="U30" i="1" s="1"/>
  <c r="U113" i="1"/>
  <c r="V113" i="1" s="1"/>
  <c r="W113" i="1" s="1"/>
  <c r="X113" i="1" s="1"/>
  <c r="Y113" i="1" s="1"/>
  <c r="Z113" i="1" s="1"/>
  <c r="AA113" i="1" s="1"/>
  <c r="AB113" i="1" s="1"/>
  <c r="AC113" i="1" s="1"/>
  <c r="AD113" i="1" s="1"/>
  <c r="AE113" i="1" s="1"/>
  <c r="N133" i="1"/>
  <c r="O133" i="1" s="1"/>
  <c r="P133" i="1" s="1"/>
  <c r="Q133" i="1" s="1"/>
  <c r="R133" i="1" s="1"/>
  <c r="S133" i="1" s="1"/>
  <c r="T133" i="1" s="1"/>
  <c r="H136" i="1"/>
  <c r="Q23" i="1"/>
  <c r="P23" i="1"/>
  <c r="I22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N19" i="1"/>
  <c r="AM18" i="1"/>
  <c r="N18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N17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N16" i="1"/>
  <c r="I19" i="1"/>
  <c r="I18" i="1"/>
  <c r="I17" i="1"/>
  <c r="I16" i="1"/>
  <c r="O15" i="1"/>
  <c r="N15" i="1"/>
  <c r="O12" i="1"/>
  <c r="D7" i="1"/>
  <c r="D6" i="1"/>
  <c r="D5" i="1"/>
  <c r="N141" i="1" l="1"/>
  <c r="I26" i="1"/>
  <c r="I25" i="1"/>
  <c r="I24" i="1"/>
  <c r="J15" i="1"/>
  <c r="K15" i="1" s="1"/>
  <c r="I23" i="1"/>
  <c r="I30" i="1"/>
  <c r="I31" i="1" s="1"/>
  <c r="K19" i="1"/>
  <c r="P12" i="1"/>
  <c r="J22" i="1" s="1"/>
  <c r="K22" i="1" s="1"/>
  <c r="O142" i="1" l="1"/>
  <c r="O141" i="1"/>
  <c r="P141" i="1" s="1"/>
  <c r="Q141" i="1" s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AB141" i="1" s="1"/>
  <c r="AC141" i="1" s="1"/>
  <c r="AD141" i="1" s="1"/>
  <c r="AE141" i="1" s="1"/>
  <c r="AF141" i="1" s="1"/>
  <c r="AG141" i="1" s="1"/>
  <c r="AH141" i="1" s="1"/>
  <c r="AI141" i="1" s="1"/>
  <c r="AJ141" i="1" s="1"/>
  <c r="AK141" i="1" s="1"/>
  <c r="AL141" i="1" s="1"/>
  <c r="AM141" i="1" s="1"/>
  <c r="AN141" i="1" s="1"/>
  <c r="AO141" i="1" s="1"/>
  <c r="AP141" i="1" s="1"/>
  <c r="AQ141" i="1" s="1"/>
  <c r="AR141" i="1" s="1"/>
  <c r="AS141" i="1" s="1"/>
  <c r="AT141" i="1" s="1"/>
  <c r="AU141" i="1" s="1"/>
  <c r="AV141" i="1" s="1"/>
  <c r="AW141" i="1" s="1"/>
  <c r="AX141" i="1" s="1"/>
  <c r="AY141" i="1" s="1"/>
  <c r="AZ141" i="1" s="1"/>
  <c r="BA141" i="1" s="1"/>
  <c r="BB141" i="1" s="1"/>
  <c r="BC141" i="1" s="1"/>
  <c r="BD141" i="1" s="1"/>
  <c r="BE141" i="1" s="1"/>
  <c r="N139" i="1"/>
  <c r="O139" i="1" s="1"/>
  <c r="P139" i="1" s="1"/>
  <c r="Q139" i="1" s="1"/>
  <c r="R139" i="1" s="1"/>
  <c r="S139" i="1" s="1"/>
  <c r="T139" i="1" s="1"/>
  <c r="U139" i="1" s="1"/>
  <c r="V139" i="1" s="1"/>
  <c r="W139" i="1" s="1"/>
  <c r="X139" i="1" s="1"/>
  <c r="Y139" i="1" s="1"/>
  <c r="Z139" i="1" s="1"/>
  <c r="N142" i="1"/>
  <c r="N143" i="1" s="1"/>
  <c r="Q12" i="1"/>
  <c r="O143" i="1" l="1"/>
  <c r="P143" i="1" s="1"/>
  <c r="Q143" i="1" s="1"/>
  <c r="R143" i="1" s="1"/>
  <c r="S143" i="1" s="1"/>
  <c r="T143" i="1" s="1"/>
  <c r="U143" i="1" s="1"/>
  <c r="V143" i="1" s="1"/>
  <c r="W143" i="1" s="1"/>
  <c r="X143" i="1" s="1"/>
  <c r="Y143" i="1" s="1"/>
  <c r="Z143" i="1" s="1"/>
  <c r="AA143" i="1" s="1"/>
  <c r="AB143" i="1" s="1"/>
  <c r="AC143" i="1" s="1"/>
  <c r="AD143" i="1" s="1"/>
  <c r="AE143" i="1" s="1"/>
  <c r="AF143" i="1" s="1"/>
  <c r="AG143" i="1" s="1"/>
  <c r="AH143" i="1" s="1"/>
  <c r="AI143" i="1" s="1"/>
  <c r="AJ143" i="1" s="1"/>
  <c r="AK143" i="1" s="1"/>
  <c r="AL143" i="1" s="1"/>
  <c r="AM143" i="1" s="1"/>
  <c r="AN143" i="1" s="1"/>
  <c r="AO143" i="1" s="1"/>
  <c r="AA139" i="1"/>
  <c r="AB139" i="1" s="1"/>
  <c r="AC139" i="1" s="1"/>
  <c r="AD139" i="1" s="1"/>
  <c r="AE139" i="1" s="1"/>
  <c r="AF139" i="1" s="1"/>
  <c r="AG139" i="1" s="1"/>
  <c r="AH139" i="1" s="1"/>
  <c r="AI139" i="1" s="1"/>
  <c r="AJ139" i="1" s="1"/>
  <c r="AK139" i="1" s="1"/>
  <c r="AL139" i="1" s="1"/>
  <c r="AM139" i="1" s="1"/>
  <c r="J26" i="1"/>
  <c r="J24" i="1"/>
  <c r="J23" i="1"/>
  <c r="I33" i="1"/>
  <c r="I34" i="1" s="1"/>
  <c r="R12" i="1"/>
  <c r="K23" i="1"/>
  <c r="J25" i="1" l="1"/>
  <c r="I35" i="1"/>
  <c r="I49" i="1"/>
  <c r="S12" i="1"/>
  <c r="J33" i="1" s="1"/>
  <c r="K24" i="1"/>
  <c r="K26" i="1"/>
  <c r="K33" i="1" l="1"/>
  <c r="J34" i="1"/>
  <c r="K34" i="1" s="1"/>
  <c r="T12" i="1"/>
  <c r="U12" i="1" s="1"/>
  <c r="K25" i="1"/>
  <c r="V12" i="1" l="1"/>
  <c r="I42" i="1"/>
  <c r="J49" i="1"/>
  <c r="K49" i="1" s="1"/>
  <c r="J35" i="1"/>
  <c r="K35" i="1" s="1"/>
  <c r="J30" i="1"/>
  <c r="K30" i="1" s="1"/>
  <c r="W12" i="1" l="1"/>
  <c r="I39" i="1"/>
  <c r="I40" i="1" s="1"/>
  <c r="X12" i="1" l="1"/>
  <c r="Y12" i="1" s="1"/>
  <c r="I37" i="1"/>
  <c r="J31" i="1"/>
  <c r="K31" i="1" s="1"/>
  <c r="Z12" i="1" l="1"/>
  <c r="I52" i="1"/>
  <c r="I53" i="1" s="1"/>
  <c r="AA12" i="1" l="1"/>
  <c r="J39" i="1"/>
  <c r="I41" i="1"/>
  <c r="J40" i="1" l="1"/>
  <c r="K39" i="1"/>
  <c r="AB12" i="1"/>
  <c r="I45" i="1"/>
  <c r="AC12" i="1" l="1"/>
  <c r="J37" i="1"/>
  <c r="K37" i="1" s="1"/>
  <c r="J52" i="1"/>
  <c r="I44" i="1"/>
  <c r="I55" i="1"/>
  <c r="J42" i="1"/>
  <c r="K42" i="1" s="1"/>
  <c r="K40" i="1"/>
  <c r="J53" i="1" l="1"/>
  <c r="K53" i="1" s="1"/>
  <c r="K52" i="1"/>
  <c r="AD12" i="1"/>
  <c r="I70" i="1"/>
  <c r="AE12" i="1" l="1"/>
  <c r="J45" i="1"/>
  <c r="K45" i="1" s="1"/>
  <c r="J41" i="1"/>
  <c r="K41" i="1" s="1"/>
  <c r="I90" i="1"/>
  <c r="I89" i="1"/>
  <c r="I86" i="1"/>
  <c r="AF12" i="1" l="1"/>
  <c r="K76" i="1"/>
  <c r="J44" i="1"/>
  <c r="K44" i="1" s="1"/>
  <c r="K113" i="1"/>
  <c r="I87" i="1"/>
  <c r="I73" i="1"/>
  <c r="I72" i="1"/>
  <c r="K71" i="1"/>
  <c r="J70" i="1"/>
  <c r="K70" i="1" s="1"/>
  <c r="K79" i="1"/>
  <c r="J86" i="1"/>
  <c r="K86" i="1" s="1"/>
  <c r="J55" i="1"/>
  <c r="K55" i="1" s="1"/>
  <c r="K114" i="1" l="1"/>
  <c r="AG12" i="1"/>
  <c r="I88" i="1"/>
  <c r="J73" i="1"/>
  <c r="K73" i="1" s="1"/>
  <c r="J87" i="1"/>
  <c r="K87" i="1" s="1"/>
  <c r="K80" i="1"/>
  <c r="J72" i="1"/>
  <c r="K72" i="1" s="1"/>
  <c r="K66" i="1"/>
  <c r="K78" i="1"/>
  <c r="K77" i="1"/>
  <c r="AH12" i="1" l="1"/>
  <c r="J88" i="1"/>
  <c r="K88" i="1" s="1"/>
  <c r="I65" i="1"/>
  <c r="J90" i="1"/>
  <c r="K90" i="1" s="1"/>
  <c r="J89" i="1"/>
  <c r="K89" i="1" s="1"/>
  <c r="K115" i="1"/>
  <c r="K116" i="1"/>
  <c r="AI12" i="1" l="1"/>
  <c r="K98" i="1"/>
  <c r="K95" i="1"/>
  <c r="I50" i="1"/>
  <c r="AJ12" i="1" l="1"/>
  <c r="K94" i="1"/>
  <c r="J65" i="1"/>
  <c r="K65" i="1" s="1"/>
  <c r="K61" i="1"/>
  <c r="I60" i="1"/>
  <c r="J50" i="1"/>
  <c r="K50" i="1" s="1"/>
  <c r="K68" i="1"/>
  <c r="K67" i="1"/>
  <c r="AK12" i="1" l="1"/>
  <c r="K106" i="1"/>
  <c r="I130" i="1"/>
  <c r="I129" i="1"/>
  <c r="I128" i="1"/>
  <c r="K93" i="1"/>
  <c r="I127" i="1"/>
  <c r="I126" i="1"/>
  <c r="I62" i="1"/>
  <c r="K108" i="1"/>
  <c r="I125" i="1"/>
  <c r="I124" i="1"/>
  <c r="K96" i="1"/>
  <c r="K109" i="1"/>
  <c r="AL12" i="1" l="1"/>
  <c r="K118" i="1"/>
  <c r="K81" i="1"/>
  <c r="K117" i="1"/>
  <c r="J60" i="1"/>
  <c r="K60" i="1" s="1"/>
  <c r="K82" i="1"/>
  <c r="K97" i="1"/>
  <c r="K56" i="1"/>
  <c r="K83" i="1"/>
  <c r="K63" i="1"/>
  <c r="J62" i="1"/>
  <c r="K62" i="1" s="1"/>
  <c r="AM12" i="1" l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  <c r="BE12" i="1" s="1"/>
  <c r="J127" i="1"/>
  <c r="K127" i="1" s="1"/>
  <c r="K101" i="1"/>
  <c r="J125" i="1"/>
  <c r="K125" i="1" s="1"/>
  <c r="J124" i="1"/>
  <c r="K124" i="1" s="1"/>
  <c r="K103" i="1"/>
  <c r="K102" i="1"/>
  <c r="J126" i="1"/>
  <c r="K126" i="1" s="1"/>
  <c r="K121" i="1"/>
  <c r="J130" i="1"/>
  <c r="K130" i="1" s="1"/>
  <c r="J129" i="1"/>
  <c r="K129" i="1" s="1"/>
  <c r="J128" i="1"/>
  <c r="K128" i="1" s="1"/>
  <c r="K107" i="1"/>
  <c r="K120" i="1"/>
  <c r="K119" i="1"/>
  <c r="K110" i="1"/>
  <c r="J17" i="1" l="1"/>
  <c r="J16" i="1"/>
  <c r="K16" i="1" s="1"/>
  <c r="J133" i="1" l="1"/>
  <c r="K133" i="1" s="1"/>
  <c r="K17" i="1"/>
  <c r="J18" i="1"/>
  <c r="J19" i="1" s="1"/>
</calcChain>
</file>

<file path=xl/sharedStrings.xml><?xml version="1.0" encoding="utf-8"?>
<sst xmlns="http://schemas.openxmlformats.org/spreadsheetml/2006/main" count="201" uniqueCount="174">
  <si>
    <t>BOBOT</t>
  </si>
  <si>
    <t>DURASI</t>
  </si>
  <si>
    <t>TIME SCHEDULE</t>
  </si>
  <si>
    <t>NO</t>
  </si>
  <si>
    <t>KOMPONEN PEKERJAAN</t>
  </si>
  <si>
    <t>PEKERJAAN</t>
  </si>
  <si>
    <t>MULAI</t>
  </si>
  <si>
    <t>SELESAI</t>
  </si>
  <si>
    <t>HARI</t>
  </si>
  <si>
    <t>I</t>
  </si>
  <si>
    <t>PEKERJAAN PERSIAPAN</t>
  </si>
  <si>
    <t>II</t>
  </si>
  <si>
    <t>A</t>
  </si>
  <si>
    <t>B</t>
  </si>
  <si>
    <t>C</t>
  </si>
  <si>
    <t>III</t>
  </si>
  <si>
    <t>V</t>
  </si>
  <si>
    <t>PEKERJAAN SANITAR</t>
  </si>
  <si>
    <t>VI</t>
  </si>
  <si>
    <t>VII</t>
  </si>
  <si>
    <t>VIII</t>
  </si>
  <si>
    <t>TOTAL KESELURUHAN</t>
  </si>
  <si>
    <r>
      <t>KUMULATIF PROGRES (</t>
    </r>
    <r>
      <rPr>
        <b/>
        <sz val="10"/>
        <rFont val="Calibri Light"/>
        <family val="2"/>
      </rPr>
      <t>RENCANA)</t>
    </r>
  </si>
  <si>
    <r>
      <t>PROGRES (</t>
    </r>
    <r>
      <rPr>
        <b/>
        <sz val="10"/>
        <rFont val="Calibri Light"/>
        <family val="2"/>
      </rPr>
      <t>AKTUAL)</t>
    </r>
  </si>
  <si>
    <r>
      <t>KUMULATIF PROGRES (</t>
    </r>
    <r>
      <rPr>
        <b/>
        <sz val="10"/>
        <rFont val="Calibri Light"/>
        <family val="2"/>
      </rPr>
      <t>AKTUAL)</t>
    </r>
  </si>
  <si>
    <t>Proyek</t>
  </si>
  <si>
    <t>Lokasi</t>
  </si>
  <si>
    <t xml:space="preserve">RENOVASI RUMAH  </t>
  </si>
  <si>
    <t>Jl. Kramat Sawah No. E335, Paseban, Jakarta Pusat</t>
  </si>
  <si>
    <t>Date</t>
  </si>
  <si>
    <t>10 Oktober 2025</t>
  </si>
  <si>
    <t>Pasangan Bouwplank</t>
  </si>
  <si>
    <t>Air Kerja &amp; Listrik Kerja</t>
  </si>
  <si>
    <t>Keamanan</t>
  </si>
  <si>
    <t>Mobilisasi dan Demobilisasi</t>
  </si>
  <si>
    <t>Pembersihan</t>
  </si>
  <si>
    <t>PEKERJAAN FONDASI</t>
  </si>
  <si>
    <t>Galian Tanah</t>
  </si>
  <si>
    <t xml:space="preserve">Pemadatan Tanah </t>
  </si>
  <si>
    <t>Sloof/Tie Beam 30cm x 40cm</t>
  </si>
  <si>
    <t>Kolom Pedestal 35cm x 20cm TINGGI 175CM</t>
  </si>
  <si>
    <t>Pondasi Tapak 17 Titik</t>
  </si>
  <si>
    <t>PEKERJAAN STRUKTUR</t>
  </si>
  <si>
    <t>LANTAI 1</t>
  </si>
  <si>
    <t>Kolom 20 CM X 35 CM tinggi 350 cm</t>
  </si>
  <si>
    <t>Plat Lantai 1</t>
  </si>
  <si>
    <t>BL 1 20cm x 30cm</t>
  </si>
  <si>
    <t>Pekerjaan balok</t>
  </si>
  <si>
    <t xml:space="preserve">BL 2 25 cm x 40 cm </t>
  </si>
  <si>
    <t>Balok Kongliong / Latei Diatas Kusen</t>
  </si>
  <si>
    <t>LANTAI 2</t>
  </si>
  <si>
    <t xml:space="preserve">Pekerjan Kolom </t>
  </si>
  <si>
    <t>Plat Lantai 2</t>
  </si>
  <si>
    <t>LANTAI 3</t>
  </si>
  <si>
    <t>Kolom 10cm x 25 cm tinggi 300cm 7 Titik</t>
  </si>
  <si>
    <t>Pekerjaan balok BL 2 10CM X 25 CM</t>
  </si>
  <si>
    <t>IV</t>
  </si>
  <si>
    <t>PEKERJAAN DINDING</t>
  </si>
  <si>
    <t>Pasangan Bata Ringan</t>
  </si>
  <si>
    <t>Pekerjaan Glass block</t>
  </si>
  <si>
    <t>Pekerjaan Pasangan roster</t>
  </si>
  <si>
    <t>PEKERJAAN FINISHING DINDING</t>
  </si>
  <si>
    <t>Pek. Plesteran 1PC: 5PS + Acian</t>
  </si>
  <si>
    <t>Pas. Keramik Dinding Lantai 1</t>
  </si>
  <si>
    <t>Opening Kusen PC</t>
  </si>
  <si>
    <t>Tali Air</t>
  </si>
  <si>
    <t>Pasangan Keramik Dinding (KM / WC)</t>
  </si>
  <si>
    <t>PEKERJAAN ATAP</t>
  </si>
  <si>
    <t>Rangka Atap Baja Ringan</t>
  </si>
  <si>
    <t>Waterproofing Dak &amp; Canopy Beton</t>
  </si>
  <si>
    <t>Screed</t>
  </si>
  <si>
    <t xml:space="preserve">Penutup Atap </t>
  </si>
  <si>
    <t>Flashing Datar &amp; Miring Alderon</t>
  </si>
  <si>
    <t>raiiling</t>
  </si>
  <si>
    <t>Zincromate</t>
  </si>
  <si>
    <t>Cat Besi</t>
  </si>
  <si>
    <t>PEKERJAAN PLAFOND</t>
  </si>
  <si>
    <t>Pekerjaan Plafond Lantai 1</t>
  </si>
  <si>
    <t>Pekerjaan Plafond Lantai 2</t>
  </si>
  <si>
    <t>Pekerjaan Plafond Lantai 3</t>
  </si>
  <si>
    <t>Pekerjaan Plafond K. Mandi (Lt.1~Lt.3)</t>
  </si>
  <si>
    <t>Pekerjaan Shadow Line</t>
  </si>
  <si>
    <t>PEKERJAAN FINISHING LANTAI</t>
  </si>
  <si>
    <t>Pekerjaan Finishing Lantai 1</t>
  </si>
  <si>
    <t>Pekerjaan Finishing Lantai 2</t>
  </si>
  <si>
    <t>Pekerjaan Finishing Lantai 3</t>
  </si>
  <si>
    <t>Peekrjaan Carport</t>
  </si>
  <si>
    <t>Pekerjaan Waterproofing Lt.3</t>
  </si>
  <si>
    <t>Pekerjaan Waterproofing K. Mandi</t>
  </si>
  <si>
    <t>IX</t>
  </si>
  <si>
    <t>PEKERJAAN KUSEN, JENDELA &amp; PINTU</t>
  </si>
  <si>
    <t>Pekerjaan Kusen, Pintu dan Jendela Kayu Lt.1</t>
  </si>
  <si>
    <t>Pekerjaan Kusen, Pintu dan Jendela Kayu Lt.2</t>
  </si>
  <si>
    <t>Pekerjaan Kusen, Pintu dan Jendela Kayu Lt.3</t>
  </si>
  <si>
    <t>X</t>
  </si>
  <si>
    <t>PEKERJAAN PENGECATAN</t>
  </si>
  <si>
    <t>Pek. Cat Dinding Dalam</t>
  </si>
  <si>
    <t>Pek. Cat Dinding Luar</t>
  </si>
  <si>
    <t>Pek. Cat Plafond Gypsum + List</t>
  </si>
  <si>
    <t>Pek. Cat Plafond Gypsum WR + List</t>
  </si>
  <si>
    <t>Finishing cat dinding parapet</t>
  </si>
  <si>
    <t>XI</t>
  </si>
  <si>
    <t>PEKERJAAN MEP</t>
  </si>
  <si>
    <t xml:space="preserve">Pekerjaan Instalasi Air </t>
  </si>
  <si>
    <t>Pek. Instalasi Kabel Titik Lampu</t>
  </si>
  <si>
    <t>Pek. Instalasi Kabel Stop Kontak</t>
  </si>
  <si>
    <t>Pek. Instalasi Kabel Toevoer Tipe 1</t>
  </si>
  <si>
    <t xml:space="preserve">Fitting Titik Lampu Standard </t>
  </si>
  <si>
    <t>Fitting Titik Lampu Downlight Outbow</t>
  </si>
  <si>
    <t>Pek. Instalasi Saklar Singgel &amp; Double</t>
  </si>
  <si>
    <t>Pek. Instalasi Stop Kontak</t>
  </si>
  <si>
    <t>Pek. Instalasi Box MCB</t>
  </si>
  <si>
    <t>XII</t>
  </si>
  <si>
    <t>Instalasi Closet Monoblock</t>
  </si>
  <si>
    <t>Instalasi Jet Washer</t>
  </si>
  <si>
    <t>Instalasi Floor Drain</t>
  </si>
  <si>
    <t>Instalasi Roof Drain</t>
  </si>
  <si>
    <t>Instalasi Kran Dinding</t>
  </si>
  <si>
    <t>Instalasi Kitchen Sink</t>
  </si>
  <si>
    <t>Instalasi Kran Kitchen Sink</t>
  </si>
  <si>
    <t>XIII</t>
  </si>
  <si>
    <t>PEKERJAAN LAIN-LAIN</t>
  </si>
  <si>
    <t>Pembongkaran dan Bobokan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</si>
  <si>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</si>
  <si>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</si>
  <si>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</si>
  <si>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</si>
  <si>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</si>
  <si>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</si>
  <si>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</si>
  <si>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</si>
  <si>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</si>
  <si>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</si>
  <si>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</si>
  <si>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</si>
  <si>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</si>
  <si>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</si>
  <si>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</si>
  <si>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</si>
  <si>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</si>
  <si>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</si>
  <si>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</si>
  <si>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</si>
  <si>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</si>
  <si>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</si>
  <si>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</si>
  <si>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</si>
  <si>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</si>
  <si>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</si>
  <si>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Pek. Frame hollow 50x50mm fin black metal</t>
  </si>
  <si>
    <r>
      <t>KUMULATIF PROGRES (</t>
    </r>
    <r>
      <rPr>
        <b/>
        <sz val="10"/>
        <color rgb="FF0070C0"/>
        <rFont val="Calibri Light"/>
        <family val="2"/>
      </rPr>
      <t>RE-SCHEDULE)</t>
    </r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</si>
  <si>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</si>
  <si>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</si>
  <si>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</si>
  <si>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</si>
  <si>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</si>
  <si>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</si>
  <si>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</si>
  <si>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</si>
  <si>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</si>
  <si>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</si>
  <si>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</si>
  <si>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</si>
  <si>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</si>
  <si>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</si>
  <si>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</si>
  <si>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</si>
  <si>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</si>
  <si>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</si>
  <si>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RE-SCHEDULE</t>
  </si>
  <si>
    <r>
      <t>TIMELINE (</t>
    </r>
    <r>
      <rPr>
        <b/>
        <sz val="10"/>
        <rFont val="Calibri Light"/>
        <family val="2"/>
      </rPr>
      <t>RENCANA)</t>
    </r>
  </si>
  <si>
    <r>
      <t>TIMELINE (</t>
    </r>
    <r>
      <rPr>
        <b/>
        <i/>
        <sz val="10"/>
        <color rgb="FF0070C0"/>
        <rFont val="Calibri Light"/>
        <family val="2"/>
      </rPr>
      <t>RE-SCHEDULE</t>
    </r>
    <r>
      <rPr>
        <b/>
        <sz val="10"/>
        <color rgb="FF0070C0"/>
        <rFont val="Calibri Light"/>
        <family val="2"/>
      </rPr>
      <t>)</t>
    </r>
  </si>
  <si>
    <t>KETERANGAN :</t>
  </si>
  <si>
    <t>: Item yang mengalami kemunduran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</si>
</sst>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13809]dd/mm/yy;@"/>
    <numFmt numFmtId="165" formatCode="d"/>
    <numFmt numFmtId="166" formatCode="0.0%"/>
    <numFmt numFmtId="167" formatCode="_-[$Rp-421]* #,##0.00_-;\-[$Rp-421]* #,##0.00_-;_-[$Rp-421]* &quot;-&quot;??_-;_-@_-"/>
    <numFmt numFmtId="168" formatCode="_-* #,##0.00_-;\-* #,##0.00_-;_-* &quot;-&quot;??_-;_-@_-"/>
    <numFmt numFmtId="169" formatCode="0.000%"/>
    <numFmt numFmtId="170" formatCode="dd/mm/yy;@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 Light"/>
      <family val="2"/>
    </font>
    <font>
      <sz val="10"/>
      <name val="Arial"/>
      <family val="2"/>
    </font>
    <font>
      <sz val="10"/>
      <name val="Calibri Light"/>
      <family val="2"/>
    </font>
    <font>
      <sz val="12"/>
      <color indexed="8"/>
      <name val="Calibri Light"/>
      <family val="2"/>
    </font>
    <font>
      <sz val="10"/>
      <color indexed="8"/>
      <name val="Calibri Light"/>
      <family val="2"/>
    </font>
    <font>
      <b/>
      <sz val="12"/>
      <name val="Calibri Light"/>
      <family val="2"/>
    </font>
    <font>
      <b/>
      <sz val="10"/>
      <name val="Calibri Light"/>
      <family val="2"/>
    </font>
    <font>
      <b/>
      <sz val="10"/>
      <color theme="0"/>
      <name val="Calibri Light"/>
      <family val="2"/>
    </font>
    <font>
      <b/>
      <sz val="11"/>
      <name val="Calibri Light"/>
      <family val="2"/>
    </font>
    <font>
      <b/>
      <sz val="12"/>
      <color theme="0"/>
      <name val="Calibri Light"/>
      <family val="2"/>
    </font>
    <font>
      <sz val="12"/>
      <color theme="0"/>
      <name val="Calibri Light"/>
      <family val="2"/>
    </font>
    <font>
      <b/>
      <i/>
      <sz val="12"/>
      <color indexed="8"/>
      <name val="Calibri Light"/>
      <family val="2"/>
    </font>
    <font>
      <b/>
      <i/>
      <sz val="10"/>
      <color indexed="8"/>
      <name val="Calibri Light"/>
      <family val="2"/>
    </font>
    <font>
      <sz val="8"/>
      <name val="Calibri Light"/>
      <family val="2"/>
    </font>
    <font>
      <b/>
      <sz val="12"/>
      <color indexed="8"/>
      <name val="Calibri Light"/>
      <family val="2"/>
    </font>
    <font>
      <b/>
      <sz val="10"/>
      <color indexed="8"/>
      <name val="Calibri Light"/>
      <family val="2"/>
    </font>
    <font>
      <b/>
      <sz val="12"/>
      <color rgb="FF002060"/>
      <name val="Calibri Light"/>
      <family val="2"/>
    </font>
    <font>
      <sz val="12"/>
      <color rgb="FF002060"/>
      <name val="Calibri Light"/>
      <family val="2"/>
    </font>
    <font>
      <sz val="11"/>
      <name val="Calibri Light"/>
      <family val="2"/>
    </font>
    <font>
      <sz val="12"/>
      <color rgb="FF0A3A74"/>
      <name val="Calibri Light"/>
      <family val="2"/>
    </font>
    <font>
      <b/>
      <sz val="14"/>
      <color theme="0"/>
      <name val="Calibri Light"/>
      <family val="2"/>
    </font>
    <font>
      <b/>
      <i/>
      <sz val="14"/>
      <color theme="0"/>
      <name val="Calibri Light"/>
      <family val="2"/>
    </font>
    <font>
      <sz val="14"/>
      <color theme="0"/>
      <name val="Calibri Light"/>
      <family val="2"/>
    </font>
    <font>
      <b/>
      <sz val="12"/>
      <color rgb="FFFF0000"/>
      <name val="Calibri Light"/>
      <family val="2"/>
    </font>
    <font>
      <sz val="12"/>
      <color rgb="FFFF0000"/>
      <name val="Calibri Light"/>
      <family val="2"/>
    </font>
    <font>
      <sz val="14"/>
      <name val="Calibri Light"/>
      <family val="2"/>
    </font>
    <font>
      <sz val="8"/>
      <name val="Calibri"/>
      <family val="2"/>
      <scheme val="minor"/>
    </font>
    <font>
      <sz val="12"/>
      <name val="Bahnschrift SemiBold Condensed"/>
      <family val="2"/>
    </font>
    <font>
      <sz val="10"/>
      <color theme="0" tint="-0.249977111117893"/>
      <name val="Calibri Light"/>
      <family val="2"/>
    </font>
    <font>
      <sz val="12"/>
      <color theme="0" tint="-0.249977111117893"/>
      <name val="Calibri Light"/>
      <family val="2"/>
    </font>
    <font>
      <b/>
      <sz val="12"/>
      <color rgb="FF0070C0"/>
      <name val="Calibri Light"/>
      <family val="2"/>
    </font>
    <font>
      <b/>
      <sz val="10"/>
      <color rgb="FF0070C0"/>
      <name val="Calibri Light"/>
      <family val="2"/>
    </font>
    <font>
      <sz val="12"/>
      <color rgb="FF0070C0"/>
      <name val="Bahnschrift SemiBold Condensed"/>
      <family val="2"/>
    </font>
    <font>
      <sz val="12"/>
      <name val="Calibri Light"/>
      <family val="2"/>
      <scheme val="major"/>
    </font>
    <font>
      <b/>
      <i/>
      <sz val="10"/>
      <color rgb="FF0070C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0A3A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C458A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/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0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10" fontId="2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10" fontId="5" fillId="0" borderId="0" xfId="1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0" fontId="7" fillId="0" borderId="0" xfId="1" applyNumberFormat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vertical="center"/>
    </xf>
    <xf numFmtId="10" fontId="9" fillId="2" borderId="4" xfId="1" applyNumberFormat="1" applyFont="1" applyFill="1" applyBorder="1" applyAlignment="1">
      <alignment horizontal="center" vertical="center"/>
    </xf>
    <xf numFmtId="164" fontId="9" fillId="2" borderId="4" xfId="1" applyNumberFormat="1" applyFont="1" applyFill="1" applyBorder="1" applyAlignment="1">
      <alignment horizontal="center" vertical="center"/>
    </xf>
    <xf numFmtId="1" fontId="9" fillId="2" borderId="5" xfId="2" applyNumberFormat="1" applyFont="1" applyFill="1" applyBorder="1" applyAlignment="1">
      <alignment horizontal="center" vertical="center"/>
    </xf>
    <xf numFmtId="1" fontId="10" fillId="0" borderId="0" xfId="2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0" fontId="9" fillId="2" borderId="9" xfId="1" applyNumberFormat="1" applyFont="1" applyFill="1" applyBorder="1" applyAlignment="1">
      <alignment horizontal="center" vertical="center"/>
    </xf>
    <xf numFmtId="164" fontId="9" fillId="2" borderId="9" xfId="1" applyNumberFormat="1" applyFont="1" applyFill="1" applyBorder="1" applyAlignment="1">
      <alignment horizontal="center" vertical="center"/>
    </xf>
    <xf numFmtId="1" fontId="9" fillId="2" borderId="10" xfId="2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vertical="center"/>
    </xf>
    <xf numFmtId="1" fontId="9" fillId="2" borderId="9" xfId="1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10" fontId="13" fillId="3" borderId="14" xfId="1" applyNumberFormat="1" applyFont="1" applyFill="1" applyBorder="1" applyAlignment="1">
      <alignment horizontal="center" vertical="center"/>
    </xf>
    <xf numFmtId="164" fontId="14" fillId="3" borderId="14" xfId="1" applyNumberFormat="1" applyFont="1" applyFill="1" applyBorder="1" applyAlignment="1">
      <alignment horizontal="center" vertical="center"/>
    </xf>
    <xf numFmtId="1" fontId="13" fillId="3" borderId="15" xfId="0" applyNumberFormat="1" applyFont="1" applyFill="1" applyBorder="1" applyAlignment="1">
      <alignment horizontal="center" vertical="center"/>
    </xf>
    <xf numFmtId="43" fontId="13" fillId="0" borderId="0" xfId="0" applyNumberFormat="1" applyFont="1" applyAlignment="1">
      <alignment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left" vertical="center"/>
    </xf>
    <xf numFmtId="0" fontId="16" fillId="4" borderId="17" xfId="0" applyFont="1" applyFill="1" applyBorder="1" applyAlignment="1">
      <alignment vertical="center"/>
    </xf>
    <xf numFmtId="10" fontId="16" fillId="4" borderId="11" xfId="1" applyNumberFormat="1" applyFont="1" applyFill="1" applyBorder="1" applyAlignment="1">
      <alignment horizontal="center" vertical="center"/>
    </xf>
    <xf numFmtId="164" fontId="17" fillId="4" borderId="11" xfId="1" applyNumberFormat="1" applyFont="1" applyFill="1" applyBorder="1" applyAlignment="1">
      <alignment horizontal="center" vertical="center"/>
    </xf>
    <xf numFmtId="1" fontId="16" fillId="4" borderId="18" xfId="0" applyNumberFormat="1" applyFont="1" applyFill="1" applyBorder="1" applyAlignment="1">
      <alignment horizontal="center" vertical="center"/>
    </xf>
    <xf numFmtId="167" fontId="16" fillId="4" borderId="0" xfId="0" applyNumberFormat="1" applyFont="1" applyFill="1" applyAlignment="1">
      <alignment vertical="center"/>
    </xf>
    <xf numFmtId="0" fontId="4" fillId="4" borderId="0" xfId="0" applyFont="1" applyFill="1"/>
    <xf numFmtId="0" fontId="2" fillId="4" borderId="0" xfId="0" applyFont="1" applyFill="1"/>
    <xf numFmtId="0" fontId="18" fillId="0" borderId="16" xfId="0" applyFont="1" applyBorder="1" applyAlignment="1">
      <alignment horizontal="right" vertical="center"/>
    </xf>
    <xf numFmtId="0" fontId="19" fillId="0" borderId="17" xfId="0" applyFont="1" applyBorder="1" applyAlignment="1">
      <alignment horizontal="left" vertical="center"/>
    </xf>
    <xf numFmtId="0" fontId="18" fillId="0" borderId="17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10" fontId="5" fillId="3" borderId="11" xfId="1" applyNumberFormat="1" applyFont="1" applyFill="1" applyBorder="1" applyAlignment="1">
      <alignment horizontal="center" vertical="center"/>
    </xf>
    <xf numFmtId="164" fontId="6" fillId="3" borderId="11" xfId="1" applyNumberFormat="1" applyFont="1" applyFill="1" applyBorder="1" applyAlignment="1">
      <alignment horizontal="center" vertical="center"/>
    </xf>
    <xf numFmtId="1" fontId="5" fillId="3" borderId="18" xfId="0" applyNumberFormat="1" applyFont="1" applyFill="1" applyBorder="1" applyAlignment="1">
      <alignment horizontal="center" vertical="center"/>
    </xf>
    <xf numFmtId="167" fontId="5" fillId="0" borderId="0" xfId="0" applyNumberFormat="1" applyFont="1" applyAlignment="1">
      <alignment vertical="center"/>
    </xf>
    <xf numFmtId="0" fontId="19" fillId="0" borderId="16" xfId="0" applyFont="1" applyBorder="1" applyAlignment="1">
      <alignment horizontal="right" vertical="center"/>
    </xf>
    <xf numFmtId="0" fontId="19" fillId="0" borderId="17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10" fontId="4" fillId="3" borderId="11" xfId="1" applyNumberFormat="1" applyFont="1" applyFill="1" applyBorder="1" applyAlignment="1">
      <alignment horizontal="center"/>
    </xf>
    <xf numFmtId="164" fontId="4" fillId="3" borderId="11" xfId="1" applyNumberFormat="1" applyFont="1" applyFill="1" applyBorder="1" applyAlignment="1">
      <alignment horizontal="center"/>
    </xf>
    <xf numFmtId="1" fontId="4" fillId="3" borderId="18" xfId="0" applyNumberFormat="1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 vertical="center"/>
    </xf>
    <xf numFmtId="164" fontId="17" fillId="4" borderId="11" xfId="0" applyNumberFormat="1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8" fillId="4" borderId="0" xfId="0" applyFont="1" applyFill="1"/>
    <xf numFmtId="0" fontId="7" fillId="4" borderId="0" xfId="0" applyFont="1" applyFill="1"/>
    <xf numFmtId="167" fontId="16" fillId="0" borderId="0" xfId="0" applyNumberFormat="1" applyFont="1" applyAlignment="1">
      <alignment vertical="center"/>
    </xf>
    <xf numFmtId="166" fontId="15" fillId="0" borderId="0" xfId="1" applyNumberFormat="1" applyFont="1" applyFill="1" applyAlignment="1"/>
    <xf numFmtId="0" fontId="8" fillId="0" borderId="0" xfId="0" applyFont="1"/>
    <xf numFmtId="0" fontId="7" fillId="0" borderId="0" xfId="0" applyFont="1"/>
    <xf numFmtId="0" fontId="2" fillId="0" borderId="17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top"/>
    </xf>
    <xf numFmtId="0" fontId="19" fillId="0" borderId="17" xfId="0" applyFont="1" applyBorder="1" applyAlignment="1">
      <alignment vertical="top"/>
    </xf>
    <xf numFmtId="167" fontId="5" fillId="0" borderId="0" xfId="0" applyNumberFormat="1" applyFont="1" applyAlignment="1">
      <alignment vertical="top"/>
    </xf>
    <xf numFmtId="0" fontId="19" fillId="0" borderId="16" xfId="0" applyFont="1" applyBorder="1" applyAlignment="1">
      <alignment horizontal="right" vertical="top"/>
    </xf>
    <xf numFmtId="0" fontId="20" fillId="0" borderId="17" xfId="0" applyFont="1" applyBorder="1" applyAlignment="1">
      <alignment horizontal="left" vertical="center"/>
    </xf>
    <xf numFmtId="0" fontId="20" fillId="0" borderId="17" xfId="0" applyFont="1" applyBorder="1" applyAlignment="1">
      <alignment horizontal="right" vertical="center"/>
    </xf>
    <xf numFmtId="0" fontId="20" fillId="0" borderId="17" xfId="0" applyFont="1" applyBorder="1" applyAlignment="1">
      <alignment horizontal="left" vertical="top"/>
    </xf>
    <xf numFmtId="0" fontId="5" fillId="0" borderId="16" xfId="0" applyFont="1" applyBorder="1" applyAlignment="1">
      <alignment horizontal="right" vertical="center"/>
    </xf>
    <xf numFmtId="0" fontId="5" fillId="0" borderId="17" xfId="0" applyFont="1" applyBorder="1" applyAlignment="1">
      <alignment vertical="top"/>
    </xf>
    <xf numFmtId="0" fontId="21" fillId="0" borderId="16" xfId="0" applyFont="1" applyBorder="1" applyAlignment="1">
      <alignment horizontal="right" vertical="center"/>
    </xf>
    <xf numFmtId="0" fontId="21" fillId="0" borderId="17" xfId="0" applyFont="1" applyBorder="1" applyAlignment="1">
      <alignment horizontal="left" vertical="center"/>
    </xf>
    <xf numFmtId="0" fontId="21" fillId="0" borderId="17" xfId="0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21" fillId="0" borderId="17" xfId="0" applyFont="1" applyBorder="1" applyAlignment="1">
      <alignment horizontal="right" vertical="top"/>
    </xf>
    <xf numFmtId="0" fontId="2" fillId="0" borderId="17" xfId="0" applyFont="1" applyBorder="1" applyAlignment="1">
      <alignment horizontal="center" vertical="center"/>
    </xf>
    <xf numFmtId="10" fontId="8" fillId="3" borderId="11" xfId="1" applyNumberFormat="1" applyFont="1" applyFill="1" applyBorder="1" applyAlignment="1">
      <alignment horizontal="center"/>
    </xf>
    <xf numFmtId="164" fontId="8" fillId="3" borderId="11" xfId="1" applyNumberFormat="1" applyFont="1" applyFill="1" applyBorder="1" applyAlignment="1">
      <alignment horizontal="center"/>
    </xf>
    <xf numFmtId="1" fontId="8" fillId="3" borderId="18" xfId="0" applyNumberFormat="1" applyFont="1" applyFill="1" applyBorder="1" applyAlignment="1">
      <alignment horizontal="center"/>
    </xf>
    <xf numFmtId="10" fontId="4" fillId="0" borderId="11" xfId="1" applyNumberFormat="1" applyFont="1" applyFill="1" applyBorder="1" applyAlignment="1">
      <alignment horizontal="center"/>
    </xf>
    <xf numFmtId="164" fontId="4" fillId="0" borderId="11" xfId="1" applyNumberFormat="1" applyFont="1" applyFill="1" applyBorder="1" applyAlignment="1">
      <alignment horizontal="center"/>
    </xf>
    <xf numFmtId="1" fontId="4" fillId="0" borderId="18" xfId="0" applyNumberFormat="1" applyFont="1" applyBorder="1" applyAlignment="1">
      <alignment horizontal="center"/>
    </xf>
    <xf numFmtId="0" fontId="7" fillId="0" borderId="17" xfId="0" applyFont="1" applyBorder="1"/>
    <xf numFmtId="10" fontId="16" fillId="3" borderId="11" xfId="1" applyNumberFormat="1" applyFont="1" applyFill="1" applyBorder="1" applyAlignment="1">
      <alignment horizontal="center" vertical="center"/>
    </xf>
    <xf numFmtId="164" fontId="17" fillId="3" borderId="11" xfId="1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1" fontId="16" fillId="3" borderId="18" xfId="0" applyNumberFormat="1" applyFont="1" applyFill="1" applyBorder="1" applyAlignment="1">
      <alignment horizontal="center" vertical="center"/>
    </xf>
    <xf numFmtId="0" fontId="22" fillId="5" borderId="19" xfId="0" quotePrefix="1" applyFont="1" applyFill="1" applyBorder="1" applyAlignment="1">
      <alignment horizontal="center" vertical="center"/>
    </xf>
    <xf numFmtId="0" fontId="23" fillId="5" borderId="20" xfId="0" applyFont="1" applyFill="1" applyBorder="1" applyAlignment="1">
      <alignment horizontal="left" vertical="center"/>
    </xf>
    <xf numFmtId="0" fontId="24" fillId="5" borderId="20" xfId="0" applyFont="1" applyFill="1" applyBorder="1" applyAlignment="1">
      <alignment vertical="center"/>
    </xf>
    <xf numFmtId="166" fontId="22" fillId="5" borderId="21" xfId="1" applyNumberFormat="1" applyFont="1" applyFill="1" applyBorder="1" applyAlignment="1">
      <alignment horizontal="center" vertical="center"/>
    </xf>
    <xf numFmtId="164" fontId="9" fillId="5" borderId="21" xfId="1" applyNumberFormat="1" applyFont="1" applyFill="1" applyBorder="1" applyAlignment="1">
      <alignment horizontal="center" vertical="center"/>
    </xf>
    <xf numFmtId="1" fontId="22" fillId="5" borderId="22" xfId="0" applyNumberFormat="1" applyFont="1" applyFill="1" applyBorder="1" applyAlignment="1">
      <alignment horizontal="center" vertical="center"/>
    </xf>
    <xf numFmtId="167" fontId="22" fillId="0" borderId="0" xfId="0" applyNumberFormat="1" applyFont="1" applyAlignment="1">
      <alignment vertical="center"/>
    </xf>
    <xf numFmtId="0" fontId="25" fillId="0" borderId="0" xfId="0" applyFont="1"/>
    <xf numFmtId="168" fontId="2" fillId="0" borderId="0" xfId="0" applyNumberFormat="1" applyFont="1"/>
    <xf numFmtId="10" fontId="2" fillId="0" borderId="23" xfId="1" applyNumberFormat="1" applyFont="1" applyBorder="1" applyAlignment="1">
      <alignment horizontal="center"/>
    </xf>
    <xf numFmtId="0" fontId="2" fillId="0" borderId="24" xfId="0" applyFont="1" applyBorder="1"/>
    <xf numFmtId="166" fontId="2" fillId="0" borderId="24" xfId="2" applyNumberFormat="1" applyFont="1" applyBorder="1" applyAlignment="1">
      <alignment horizontal="center"/>
    </xf>
    <xf numFmtId="166" fontId="7" fillId="0" borderId="25" xfId="2" applyNumberFormat="1" applyFont="1" applyBorder="1" applyAlignment="1">
      <alignment horizontal="right"/>
    </xf>
    <xf numFmtId="0" fontId="27" fillId="0" borderId="0" xfId="0" applyFont="1"/>
    <xf numFmtId="10" fontId="2" fillId="0" borderId="29" xfId="1" applyNumberFormat="1" applyFont="1" applyBorder="1" applyAlignment="1">
      <alignment horizontal="center"/>
    </xf>
    <xf numFmtId="0" fontId="2" fillId="0" borderId="8" xfId="0" applyFont="1" applyBorder="1"/>
    <xf numFmtId="166" fontId="2" fillId="0" borderId="8" xfId="2" applyNumberFormat="1" applyFont="1" applyBorder="1" applyAlignment="1">
      <alignment horizontal="center"/>
    </xf>
    <xf numFmtId="166" fontId="7" fillId="0" borderId="30" xfId="2" applyNumberFormat="1" applyFont="1" applyBorder="1" applyAlignment="1">
      <alignment horizontal="right"/>
    </xf>
    <xf numFmtId="0" fontId="27" fillId="0" borderId="0" xfId="0" applyFont="1" applyAlignment="1">
      <alignment horizontal="center"/>
    </xf>
    <xf numFmtId="168" fontId="2" fillId="0" borderId="8" xfId="0" applyNumberFormat="1" applyFont="1" applyBorder="1"/>
    <xf numFmtId="0" fontId="2" fillId="0" borderId="9" xfId="0" applyFont="1" applyBorder="1"/>
    <xf numFmtId="10" fontId="2" fillId="0" borderId="33" xfId="1" applyNumberFormat="1" applyFont="1" applyBorder="1" applyAlignment="1">
      <alignment horizontal="center"/>
    </xf>
    <xf numFmtId="0" fontId="2" fillId="0" borderId="34" xfId="0" applyFont="1" applyBorder="1"/>
    <xf numFmtId="166" fontId="2" fillId="0" borderId="34" xfId="2" applyNumberFormat="1" applyFont="1" applyBorder="1" applyAlignment="1">
      <alignment horizontal="center"/>
    </xf>
    <xf numFmtId="166" fontId="7" fillId="0" borderId="35" xfId="2" applyNumberFormat="1" applyFont="1" applyBorder="1" applyAlignment="1">
      <alignment horizontal="right"/>
    </xf>
    <xf numFmtId="0" fontId="2" fillId="0" borderId="37" xfId="0" applyFont="1" applyBorder="1"/>
    <xf numFmtId="169" fontId="2" fillId="0" borderId="0" xfId="0" applyNumberFormat="1" applyFont="1"/>
    <xf numFmtId="167" fontId="5" fillId="4" borderId="0" xfId="0" applyNumberFormat="1" applyFont="1" applyFill="1" applyAlignment="1">
      <alignment vertical="center"/>
    </xf>
    <xf numFmtId="0" fontId="7" fillId="0" borderId="17" xfId="0" applyFont="1" applyBorder="1" applyAlignment="1">
      <alignment horizontal="left" vertical="center"/>
    </xf>
    <xf numFmtId="170" fontId="4" fillId="0" borderId="0" xfId="0" applyNumberFormat="1" applyFont="1" applyAlignment="1">
      <alignment horizontal="center"/>
    </xf>
    <xf numFmtId="2" fontId="9" fillId="2" borderId="9" xfId="1" applyNumberFormat="1" applyFont="1" applyFill="1" applyBorder="1" applyAlignment="1">
      <alignment horizontal="center" vertical="center"/>
    </xf>
    <xf numFmtId="165" fontId="12" fillId="2" borderId="43" xfId="0" applyNumberFormat="1" applyFont="1" applyFill="1" applyBorder="1" applyAlignment="1">
      <alignment horizontal="center"/>
    </xf>
    <xf numFmtId="165" fontId="12" fillId="2" borderId="44" xfId="0" applyNumberFormat="1" applyFont="1" applyFill="1" applyBorder="1" applyAlignment="1">
      <alignment horizontal="center"/>
    </xf>
    <xf numFmtId="165" fontId="12" fillId="2" borderId="45" xfId="0" applyNumberFormat="1" applyFont="1" applyFill="1" applyBorder="1" applyAlignment="1">
      <alignment horizontal="center"/>
    </xf>
    <xf numFmtId="166" fontId="4" fillId="4" borderId="0" xfId="1" applyNumberFormat="1" applyFont="1" applyFill="1" applyAlignment="1"/>
    <xf numFmtId="166" fontId="4" fillId="0" borderId="0" xfId="1" applyNumberFormat="1" applyFont="1" applyFill="1" applyAlignment="1">
      <alignment horizontal="center"/>
    </xf>
    <xf numFmtId="166" fontId="4" fillId="4" borderId="0" xfId="1" applyNumberFormat="1" applyFont="1" applyFill="1" applyAlignment="1">
      <alignment horizontal="center"/>
    </xf>
    <xf numFmtId="10" fontId="4" fillId="0" borderId="0" xfId="1" applyNumberFormat="1" applyFont="1" applyFill="1" applyAlignment="1">
      <alignment horizontal="center"/>
    </xf>
    <xf numFmtId="10" fontId="4" fillId="4" borderId="0" xfId="1" applyNumberFormat="1" applyFont="1" applyFill="1" applyAlignment="1">
      <alignment horizontal="center"/>
    </xf>
    <xf numFmtId="10" fontId="8" fillId="4" borderId="0" xfId="1" applyNumberFormat="1" applyFont="1" applyFill="1" applyAlignment="1">
      <alignment horizontal="center"/>
    </xf>
    <xf numFmtId="10" fontId="8" fillId="0" borderId="0" xfId="1" applyNumberFormat="1" applyFont="1" applyFill="1" applyAlignment="1">
      <alignment horizontal="center"/>
    </xf>
    <xf numFmtId="10" fontId="3" fillId="0" borderId="0" xfId="1" applyNumberFormat="1" applyFont="1" applyFill="1" applyAlignment="1" applyProtection="1">
      <alignment horizontal="center" vertical="top"/>
      <protection locked="0"/>
    </xf>
    <xf numFmtId="10" fontId="16" fillId="4" borderId="11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/>
    </xf>
    <xf numFmtId="0" fontId="26" fillId="0" borderId="0" xfId="0" applyFont="1"/>
    <xf numFmtId="170" fontId="30" fillId="0" borderId="0" xfId="0" applyNumberFormat="1" applyFont="1" applyAlignment="1">
      <alignment horizontal="center"/>
    </xf>
    <xf numFmtId="9" fontId="31" fillId="0" borderId="0" xfId="1" applyFont="1"/>
    <xf numFmtId="17" fontId="11" fillId="2" borderId="46" xfId="0" applyNumberFormat="1" applyFont="1" applyFill="1" applyBorder="1" applyAlignment="1">
      <alignment horizontal="center"/>
    </xf>
    <xf numFmtId="17" fontId="11" fillId="2" borderId="47" xfId="0" applyNumberFormat="1" applyFont="1" applyFill="1" applyBorder="1" applyAlignment="1">
      <alignment horizontal="center"/>
    </xf>
    <xf numFmtId="17" fontId="11" fillId="2" borderId="48" xfId="0" applyNumberFormat="1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17" fontId="11" fillId="2" borderId="41" xfId="0" applyNumberFormat="1" applyFont="1" applyFill="1" applyBorder="1" applyAlignment="1">
      <alignment horizontal="center"/>
    </xf>
    <xf numFmtId="17" fontId="11" fillId="2" borderId="42" xfId="0" applyNumberFormat="1" applyFont="1" applyFill="1" applyBorder="1" applyAlignment="1">
      <alignment horizont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2" borderId="38" xfId="0" applyFont="1" applyFill="1" applyBorder="1" applyAlignment="1">
      <alignment horizontal="center"/>
    </xf>
    <xf numFmtId="0" fontId="11" fillId="2" borderId="39" xfId="0" applyFont="1" applyFill="1" applyBorder="1" applyAlignment="1">
      <alignment horizontal="center"/>
    </xf>
    <xf numFmtId="0" fontId="11" fillId="2" borderId="40" xfId="0" applyFont="1" applyFill="1" applyBorder="1" applyAlignment="1">
      <alignment horizontal="center"/>
    </xf>
    <xf numFmtId="10" fontId="2" fillId="0" borderId="49" xfId="1" applyNumberFormat="1" applyFont="1" applyBorder="1" applyAlignment="1">
      <alignment horizontal="center"/>
    </xf>
    <xf numFmtId="0" fontId="2" fillId="0" borderId="50" xfId="0" applyFont="1" applyBorder="1"/>
    <xf numFmtId="166" fontId="19" fillId="0" borderId="50" xfId="2" applyNumberFormat="1" applyFont="1" applyBorder="1" applyAlignment="1">
      <alignment horizontal="center"/>
    </xf>
    <xf numFmtId="166" fontId="19" fillId="0" borderId="8" xfId="2" applyNumberFormat="1" applyFont="1" applyBorder="1" applyAlignment="1">
      <alignment horizontal="center"/>
    </xf>
    <xf numFmtId="166" fontId="32" fillId="0" borderId="51" xfId="2" applyNumberFormat="1" applyFont="1" applyBorder="1" applyAlignment="1">
      <alignment horizontal="right"/>
    </xf>
    <xf numFmtId="166" fontId="32" fillId="0" borderId="30" xfId="2" applyNumberFormat="1" applyFont="1" applyBorder="1" applyAlignment="1">
      <alignment horizontal="right"/>
    </xf>
    <xf numFmtId="10" fontId="2" fillId="0" borderId="26" xfId="0" applyNumberFormat="1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10" fontId="34" fillId="0" borderId="31" xfId="0" applyNumberFormat="1" applyFont="1" applyBorder="1" applyAlignment="1">
      <alignment horizontal="center"/>
    </xf>
    <xf numFmtId="10" fontId="34" fillId="0" borderId="9" xfId="0" applyNumberFormat="1" applyFont="1" applyBorder="1" applyAlignment="1">
      <alignment horizontal="center"/>
    </xf>
    <xf numFmtId="10" fontId="2" fillId="0" borderId="31" xfId="0" applyNumberFormat="1" applyFont="1" applyBorder="1" applyAlignment="1">
      <alignment horizontal="center"/>
    </xf>
    <xf numFmtId="10" fontId="2" fillId="0" borderId="9" xfId="0" applyNumberFormat="1" applyFont="1" applyBorder="1" applyAlignment="1">
      <alignment horizontal="center"/>
    </xf>
    <xf numFmtId="17" fontId="11" fillId="2" borderId="52" xfId="0" applyNumberFormat="1" applyFont="1" applyFill="1" applyBorder="1" applyAlignment="1">
      <alignment horizontal="center"/>
    </xf>
    <xf numFmtId="17" fontId="11" fillId="2" borderId="53" xfId="0" applyNumberFormat="1" applyFont="1" applyFill="1" applyBorder="1" applyAlignment="1">
      <alignment horizontal="center"/>
    </xf>
    <xf numFmtId="1" fontId="5" fillId="6" borderId="18" xfId="0" applyNumberFormat="1" applyFont="1" applyFill="1" applyBorder="1" applyAlignment="1">
      <alignment horizontal="center" vertical="center"/>
    </xf>
    <xf numFmtId="1" fontId="5" fillId="0" borderId="18" xfId="0" applyNumberFormat="1" applyFont="1" applyFill="1" applyBorder="1" applyAlignment="1">
      <alignment horizontal="center" vertical="center"/>
    </xf>
    <xf numFmtId="0" fontId="25" fillId="2" borderId="54" xfId="0" applyFont="1" applyFill="1" applyBorder="1" applyAlignment="1">
      <alignment horizontal="center"/>
    </xf>
    <xf numFmtId="0" fontId="25" fillId="2" borderId="53" xfId="0" applyFont="1" applyFill="1" applyBorder="1" applyAlignment="1">
      <alignment horizontal="center"/>
    </xf>
    <xf numFmtId="11" fontId="5" fillId="0" borderId="0" xfId="1" applyNumberFormat="1" applyFont="1" applyAlignment="1">
      <alignment horizontal="center" vertical="center"/>
    </xf>
    <xf numFmtId="11" fontId="5" fillId="4" borderId="0" xfId="1" applyNumberFormat="1" applyFont="1" applyFill="1" applyAlignment="1">
      <alignment horizontal="center" vertical="center"/>
    </xf>
    <xf numFmtId="10" fontId="29" fillId="0" borderId="55" xfId="0" applyNumberFormat="1" applyFont="1" applyBorder="1" applyAlignment="1">
      <alignment horizontal="center"/>
    </xf>
    <xf numFmtId="10" fontId="29" fillId="0" borderId="56" xfId="0" applyNumberFormat="1" applyFont="1" applyBorder="1" applyAlignment="1">
      <alignment horizontal="center"/>
    </xf>
    <xf numFmtId="10" fontId="29" fillId="0" borderId="57" xfId="0" applyNumberFormat="1" applyFont="1" applyBorder="1" applyAlignment="1">
      <alignment horizontal="center"/>
    </xf>
    <xf numFmtId="10" fontId="35" fillId="0" borderId="26" xfId="0" applyNumberFormat="1" applyFont="1" applyBorder="1" applyAlignment="1">
      <alignment horizontal="center"/>
    </xf>
    <xf numFmtId="10" fontId="35" fillId="0" borderId="27" xfId="0" applyNumberFormat="1" applyFont="1" applyBorder="1" applyAlignment="1">
      <alignment horizontal="center"/>
    </xf>
    <xf numFmtId="10" fontId="35" fillId="0" borderId="28" xfId="0" applyNumberFormat="1" applyFont="1" applyBorder="1" applyAlignment="1">
      <alignment horizontal="center"/>
    </xf>
    <xf numFmtId="166" fontId="34" fillId="0" borderId="32" xfId="0" applyNumberFormat="1" applyFont="1" applyBorder="1" applyAlignment="1">
      <alignment horizontal="center"/>
    </xf>
    <xf numFmtId="0" fontId="2" fillId="0" borderId="32" xfId="0" applyFont="1" applyBorder="1"/>
    <xf numFmtId="10" fontId="29" fillId="0" borderId="36" xfId="0" applyNumberFormat="1" applyFont="1" applyBorder="1" applyAlignment="1">
      <alignment horizontal="center"/>
    </xf>
    <xf numFmtId="10" fontId="29" fillId="0" borderId="37" xfId="0" applyNumberFormat="1" applyFont="1" applyBorder="1" applyAlignment="1">
      <alignment horizontal="center"/>
    </xf>
    <xf numFmtId="0" fontId="2" fillId="0" borderId="58" xfId="0" applyFont="1" applyBorder="1"/>
    <xf numFmtId="10" fontId="2" fillId="0" borderId="0" xfId="1" applyNumberFormat="1" applyFont="1"/>
    <xf numFmtId="10" fontId="2" fillId="0" borderId="9" xfId="1" applyNumberFormat="1" applyFont="1" applyBorder="1"/>
    <xf numFmtId="0" fontId="2" fillId="6" borderId="0" xfId="0" applyFont="1" applyFill="1" applyAlignment="1">
      <alignment horizontal="left"/>
    </xf>
    <xf numFmtId="0" fontId="7" fillId="0" borderId="0" xfId="0" applyFont="1" applyFill="1"/>
    <xf numFmtId="0" fontId="26" fillId="0" borderId="0" xfId="0" applyFont="1" applyFill="1" applyAlignment="1">
      <alignment horizontal="left"/>
    </xf>
    <xf numFmtId="0" fontId="2" fillId="0" borderId="0" xfId="0" applyFont="1" applyFill="1"/>
    <xf numFmtId="0" fontId="26" fillId="0" borderId="0" xfId="0" applyFont="1" applyFill="1"/>
    <xf numFmtId="0" fontId="2" fillId="0" borderId="0" xfId="0" applyFont="1" applyFill="1" applyAlignment="1">
      <alignment horizontal="left"/>
    </xf>
  </cellXfs>
  <cellStyles count="3">
    <cellStyle name="Normal" xfId="0" builtinId="0"/>
    <cellStyle name="Percent" xfId="1" builtinId="5"/>
    <cellStyle name="Percent 2" xfId="2" xr:uid="{C0D116A8-560E-4AA0-91AC-7D0013EA39E0}"/>
  </cellStyles>
  <dxfs count="4">
    <dxf>
      <font>
        <b/>
        <i val="0"/>
        <color theme="0" tint="-0.499984740745262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 tint="-0.499984740745262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 tint="-0.499984740745262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 tint="-0.499984740745262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0A3A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368137500817939E-2"/>
          <c:y val="8.6988405690068618E-3"/>
          <c:w val="0.9736318624991821"/>
          <c:h val="0.9826023188619862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Sheet1!$K$138</c:f>
              <c:strCache>
                <c:ptCount val="1"/>
                <c:pt idx="0">
                  <c:v>TIMELINE (RENCANA)</c:v>
                </c:pt>
              </c:strCache>
            </c:strRef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square"/>
            <c:size val="12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dLbls>
            <c:dLbl>
              <c:idx val="26"/>
              <c:layout>
                <c:manualLayout>
                  <c:x val="2.2222222222222223E-2"/>
                  <c:y val="8.1892015915803515E-2"/>
                </c:manualLayout>
              </c:layout>
              <c:spPr>
                <a:solidFill>
                  <a:srgbClr val="00B050"/>
                </a:solidFill>
                <a:ln>
                  <a:solidFill>
                    <a:srgbClr val="00206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EF-49FC-9F6C-1B0AE53108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rgbClr val="002060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Sheet1!$M$12:$AM$12</c:f>
              <c:numCache>
                <c:formatCode>dd/mm/yy;@</c:formatCode>
                <c:ptCount val="27"/>
                <c:pt idx="0">
                  <c:v>45940</c:v>
                </c:pt>
                <c:pt idx="1">
                  <c:v>45947</c:v>
                </c:pt>
                <c:pt idx="2">
                  <c:v>45954</c:v>
                </c:pt>
                <c:pt idx="3">
                  <c:v>45961</c:v>
                </c:pt>
                <c:pt idx="4">
                  <c:v>45968</c:v>
                </c:pt>
                <c:pt idx="5">
                  <c:v>45975</c:v>
                </c:pt>
                <c:pt idx="6">
                  <c:v>45982</c:v>
                </c:pt>
                <c:pt idx="7">
                  <c:v>45989</c:v>
                </c:pt>
                <c:pt idx="8">
                  <c:v>45996</c:v>
                </c:pt>
                <c:pt idx="9">
                  <c:v>46003</c:v>
                </c:pt>
                <c:pt idx="10">
                  <c:v>46010</c:v>
                </c:pt>
                <c:pt idx="11">
                  <c:v>46017</c:v>
                </c:pt>
                <c:pt idx="12">
                  <c:v>46024</c:v>
                </c:pt>
                <c:pt idx="13">
                  <c:v>46031</c:v>
                </c:pt>
                <c:pt idx="14">
                  <c:v>46038</c:v>
                </c:pt>
                <c:pt idx="15">
                  <c:v>46045</c:v>
                </c:pt>
                <c:pt idx="16">
                  <c:v>46052</c:v>
                </c:pt>
                <c:pt idx="17">
                  <c:v>46059</c:v>
                </c:pt>
                <c:pt idx="18">
                  <c:v>46066</c:v>
                </c:pt>
                <c:pt idx="19">
                  <c:v>46073</c:v>
                </c:pt>
                <c:pt idx="20">
                  <c:v>46080</c:v>
                </c:pt>
                <c:pt idx="21">
                  <c:v>46087</c:v>
                </c:pt>
                <c:pt idx="22">
                  <c:v>46094</c:v>
                </c:pt>
                <c:pt idx="23">
                  <c:v>46101</c:v>
                </c:pt>
                <c:pt idx="24">
                  <c:v>46108</c:v>
                </c:pt>
                <c:pt idx="25">
                  <c:v>46115</c:v>
                </c:pt>
                <c:pt idx="26">
                  <c:v>46122</c:v>
                </c:pt>
              </c:numCache>
            </c:numRef>
          </c:xVal>
          <c:yVal>
            <c:numRef>
              <c:f>Sheet1!$M$139:$AM$139</c:f>
              <c:numCache>
                <c:formatCode>0.00%</c:formatCode>
                <c:ptCount val="27"/>
                <c:pt idx="0" formatCode="0%">
                  <c:v>0</c:v>
                </c:pt>
                <c:pt idx="1">
                  <c:v>2.3304223768016434E-2</c:v>
                </c:pt>
                <c:pt idx="2">
                  <c:v>4.3097078963802056E-2</c:v>
                </c:pt>
                <c:pt idx="3">
                  <c:v>8.6651347310146315E-2</c:v>
                </c:pt>
                <c:pt idx="4">
                  <c:v>0.14096159939711086</c:v>
                </c:pt>
                <c:pt idx="5">
                  <c:v>0.16950267834222232</c:v>
                </c:pt>
                <c:pt idx="6">
                  <c:v>0.23550089303856067</c:v>
                </c:pt>
                <c:pt idx="7">
                  <c:v>0.25304240131401157</c:v>
                </c:pt>
                <c:pt idx="8">
                  <c:v>0.27019583497742883</c:v>
                </c:pt>
                <c:pt idx="9">
                  <c:v>0.27674883931050664</c:v>
                </c:pt>
                <c:pt idx="10">
                  <c:v>0.28860220277117665</c:v>
                </c:pt>
                <c:pt idx="11">
                  <c:v>0.30575556623184669</c:v>
                </c:pt>
                <c:pt idx="12">
                  <c:v>0.34920135097759963</c:v>
                </c:pt>
                <c:pt idx="13">
                  <c:v>0.4269098789102978</c:v>
                </c:pt>
                <c:pt idx="14">
                  <c:v>0.45700535458934</c:v>
                </c:pt>
                <c:pt idx="15">
                  <c:v>0.49110083026838225</c:v>
                </c:pt>
                <c:pt idx="16">
                  <c:v>0.51268411338874453</c:v>
                </c:pt>
                <c:pt idx="17">
                  <c:v>0.54424889680817046</c:v>
                </c:pt>
                <c:pt idx="18">
                  <c:v>0.59540858169069555</c:v>
                </c:pt>
                <c:pt idx="19">
                  <c:v>0.63093516417090856</c:v>
                </c:pt>
                <c:pt idx="20">
                  <c:v>0.63601586551160494</c:v>
                </c:pt>
                <c:pt idx="21">
                  <c:v>0.68193772957847354</c:v>
                </c:pt>
                <c:pt idx="22">
                  <c:v>0.81313115761395083</c:v>
                </c:pt>
                <c:pt idx="23">
                  <c:v>0.9128823984989437</c:v>
                </c:pt>
                <c:pt idx="24">
                  <c:v>0.96498701406633136</c:v>
                </c:pt>
                <c:pt idx="25">
                  <c:v>0.99552679543632705</c:v>
                </c:pt>
                <c:pt idx="26">
                  <c:v>0.99999999999999978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99-4C15-9ABC-6353C81934E0}"/>
            </c:ext>
          </c:extLst>
        </c:ser>
        <c:ser>
          <c:idx val="1"/>
          <c:order val="1"/>
          <c:tx>
            <c:strRef>
              <c:f>Sheet1!$K$140</c:f>
              <c:strCache>
                <c:ptCount val="1"/>
                <c:pt idx="0">
                  <c:v>TIMELINE (RE-SCHEDULE)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70C0"/>
              </a:solidFill>
              <a:ln w="57150">
                <a:solidFill>
                  <a:schemeClr val="accent1"/>
                </a:solidFill>
              </a:ln>
              <a:effectLst/>
            </c:spPr>
          </c:marker>
          <c:dLbls>
            <c:dLbl>
              <c:idx val="40"/>
              <c:layout>
                <c:manualLayout>
                  <c:x val="-0.12636165577342048"/>
                  <c:y val="-9.4853342175858751E-2"/>
                </c:manualLayout>
              </c:layout>
              <c:spPr>
                <a:solidFill>
                  <a:srgbClr val="002060"/>
                </a:solidFill>
                <a:ln>
                  <a:solidFill>
                    <a:srgbClr val="00206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BEF-49FC-9F6C-1B0AE53108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rgbClr val="002060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Sheet1!$M$12:$BE$12</c:f>
              <c:numCache>
                <c:formatCode>dd/mm/yy;@</c:formatCode>
                <c:ptCount val="45"/>
                <c:pt idx="0">
                  <c:v>45940</c:v>
                </c:pt>
                <c:pt idx="1">
                  <c:v>45947</c:v>
                </c:pt>
                <c:pt idx="2">
                  <c:v>45954</c:v>
                </c:pt>
                <c:pt idx="3">
                  <c:v>45961</c:v>
                </c:pt>
                <c:pt idx="4">
                  <c:v>45968</c:v>
                </c:pt>
                <c:pt idx="5">
                  <c:v>45975</c:v>
                </c:pt>
                <c:pt idx="6">
                  <c:v>45982</c:v>
                </c:pt>
                <c:pt idx="7">
                  <c:v>45989</c:v>
                </c:pt>
                <c:pt idx="8">
                  <c:v>45996</c:v>
                </c:pt>
                <c:pt idx="9">
                  <c:v>46003</c:v>
                </c:pt>
                <c:pt idx="10">
                  <c:v>46010</c:v>
                </c:pt>
                <c:pt idx="11">
                  <c:v>46017</c:v>
                </c:pt>
                <c:pt idx="12">
                  <c:v>46024</c:v>
                </c:pt>
                <c:pt idx="13">
                  <c:v>46031</c:v>
                </c:pt>
                <c:pt idx="14">
                  <c:v>46038</c:v>
                </c:pt>
                <c:pt idx="15">
                  <c:v>46045</c:v>
                </c:pt>
                <c:pt idx="16">
                  <c:v>46052</c:v>
                </c:pt>
                <c:pt idx="17">
                  <c:v>46059</c:v>
                </c:pt>
                <c:pt idx="18">
                  <c:v>46066</c:v>
                </c:pt>
                <c:pt idx="19">
                  <c:v>46073</c:v>
                </c:pt>
                <c:pt idx="20">
                  <c:v>46080</c:v>
                </c:pt>
                <c:pt idx="21">
                  <c:v>46087</c:v>
                </c:pt>
                <c:pt idx="22">
                  <c:v>46094</c:v>
                </c:pt>
                <c:pt idx="23">
                  <c:v>46101</c:v>
                </c:pt>
                <c:pt idx="24">
                  <c:v>46108</c:v>
                </c:pt>
                <c:pt idx="25">
                  <c:v>46115</c:v>
                </c:pt>
                <c:pt idx="26">
                  <c:v>46122</c:v>
                </c:pt>
                <c:pt idx="27">
                  <c:v>46129</c:v>
                </c:pt>
                <c:pt idx="28">
                  <c:v>46136</c:v>
                </c:pt>
                <c:pt idx="29">
                  <c:v>46143</c:v>
                </c:pt>
                <c:pt idx="30">
                  <c:v>46150</c:v>
                </c:pt>
                <c:pt idx="31">
                  <c:v>46157</c:v>
                </c:pt>
                <c:pt idx="32">
                  <c:v>46164</c:v>
                </c:pt>
                <c:pt idx="33">
                  <c:v>46171</c:v>
                </c:pt>
                <c:pt idx="34">
                  <c:v>46178</c:v>
                </c:pt>
                <c:pt idx="35">
                  <c:v>46185</c:v>
                </c:pt>
                <c:pt idx="36">
                  <c:v>46192</c:v>
                </c:pt>
                <c:pt idx="37">
                  <c:v>46199</c:v>
                </c:pt>
                <c:pt idx="38">
                  <c:v>46206</c:v>
                </c:pt>
                <c:pt idx="39">
                  <c:v>46213</c:v>
                </c:pt>
                <c:pt idx="40">
                  <c:v>46220</c:v>
                </c:pt>
                <c:pt idx="41">
                  <c:v>46227</c:v>
                </c:pt>
                <c:pt idx="42">
                  <c:v>46234</c:v>
                </c:pt>
                <c:pt idx="43">
                  <c:v>46241</c:v>
                </c:pt>
                <c:pt idx="44">
                  <c:v>46248</c:v>
                </c:pt>
              </c:numCache>
            </c:numRef>
          </c:xVal>
          <c:yVal>
            <c:numRef>
              <c:f>Sheet1!$M$141:$BE$141</c:f>
              <c:numCache>
                <c:formatCode>0.00%</c:formatCode>
                <c:ptCount val="45"/>
                <c:pt idx="0" formatCode="0%">
                  <c:v>0</c:v>
                </c:pt>
                <c:pt idx="1">
                  <c:v>2.3304223768016434E-2</c:v>
                </c:pt>
                <c:pt idx="2">
                  <c:v>4.3097078963802056E-2</c:v>
                </c:pt>
                <c:pt idx="3">
                  <c:v>8.6651347310146315E-2</c:v>
                </c:pt>
                <c:pt idx="4">
                  <c:v>0.14096159939711086</c:v>
                </c:pt>
                <c:pt idx="5">
                  <c:v>0.16950267834222232</c:v>
                </c:pt>
                <c:pt idx="6">
                  <c:v>0.23550089303856067</c:v>
                </c:pt>
                <c:pt idx="7">
                  <c:v>0.25304240131401157</c:v>
                </c:pt>
                <c:pt idx="8">
                  <c:v>0.27019583497742883</c:v>
                </c:pt>
                <c:pt idx="9">
                  <c:v>0.27674883931050664</c:v>
                </c:pt>
                <c:pt idx="10">
                  <c:v>0.28740184364358445</c:v>
                </c:pt>
                <c:pt idx="11">
                  <c:v>0.30335484797666229</c:v>
                </c:pt>
                <c:pt idx="12">
                  <c:v>0.34560027359482304</c:v>
                </c:pt>
                <c:pt idx="13">
                  <c:v>0.42210844239992895</c:v>
                </c:pt>
                <c:pt idx="14">
                  <c:v>0.45100355895137895</c:v>
                </c:pt>
                <c:pt idx="15">
                  <c:v>0.48389867550282895</c:v>
                </c:pt>
                <c:pt idx="16">
                  <c:v>0.50428159949559903</c:v>
                </c:pt>
                <c:pt idx="17">
                  <c:v>0.53464602378743276</c:v>
                </c:pt>
                <c:pt idx="18">
                  <c:v>0.55857897069289486</c:v>
                </c:pt>
                <c:pt idx="19">
                  <c:v>0.56154659488394387</c:v>
                </c:pt>
                <c:pt idx="20">
                  <c:v>0.56250843087538582</c:v>
                </c:pt>
                <c:pt idx="21">
                  <c:v>0.58214391982062341</c:v>
                </c:pt>
                <c:pt idx="22">
                  <c:v>0.62514062569970996</c:v>
                </c:pt>
                <c:pt idx="23">
                  <c:v>0.64095067001501027</c:v>
                </c:pt>
                <c:pt idx="24">
                  <c:v>0.65813150425567013</c:v>
                </c:pt>
                <c:pt idx="25">
                  <c:v>0.65909334024711208</c:v>
                </c:pt>
                <c:pt idx="26">
                  <c:v>0.66356654481078481</c:v>
                </c:pt>
                <c:pt idx="27">
                  <c:v>0.66553371989548671</c:v>
                </c:pt>
                <c:pt idx="28">
                  <c:v>0.66750089498018861</c:v>
                </c:pt>
                <c:pt idx="29">
                  <c:v>0.66946807006489051</c:v>
                </c:pt>
                <c:pt idx="30">
                  <c:v>0.67894556903732561</c:v>
                </c:pt>
                <c:pt idx="31">
                  <c:v>0.68701374287742012</c:v>
                </c:pt>
                <c:pt idx="32">
                  <c:v>0.69578254700758302</c:v>
                </c:pt>
                <c:pt idx="33">
                  <c:v>0.71387455930950294</c:v>
                </c:pt>
                <c:pt idx="34">
                  <c:v>0.73196657161142287</c:v>
                </c:pt>
                <c:pt idx="35">
                  <c:v>0.75129623136044488</c:v>
                </c:pt>
                <c:pt idx="36">
                  <c:v>0.77192899268262982</c:v>
                </c:pt>
                <c:pt idx="37">
                  <c:v>0.79256175400481477</c:v>
                </c:pt>
                <c:pt idx="38">
                  <c:v>0.81863735767769219</c:v>
                </c:pt>
                <c:pt idx="39">
                  <c:v>0.84025773178497565</c:v>
                </c:pt>
                <c:pt idx="40">
                  <c:v>0.86201921661986969</c:v>
                </c:pt>
                <c:pt idx="41">
                  <c:v>0.92613334568927408</c:v>
                </c:pt>
                <c:pt idx="42">
                  <c:v>0.97351689412555187</c:v>
                </c:pt>
                <c:pt idx="43">
                  <c:v>0.99708035185015331</c:v>
                </c:pt>
                <c:pt idx="44" formatCode="0.0%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EF-49FC-9F6C-1B0AE53108A9}"/>
            </c:ext>
          </c:extLst>
        </c:ser>
        <c:ser>
          <c:idx val="2"/>
          <c:order val="2"/>
          <c:tx>
            <c:strRef>
              <c:f>Sheet1!$K$142</c:f>
              <c:strCache>
                <c:ptCount val="1"/>
                <c:pt idx="0">
                  <c:v>PROGRES (AKTUAL)</c:v>
                </c:pt>
              </c:strCache>
            </c:strRef>
          </c:tx>
          <c:spPr>
            <a:ln w="539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1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26"/>
              <c:layout>
                <c:manualLayout>
                  <c:x val="3.9215686274509803E-3"/>
                  <c:y val="4.6542944297471064E-2"/>
                </c:manualLayout>
              </c:layout>
              <c:spPr>
                <a:solidFill>
                  <a:srgbClr val="FF0000"/>
                </a:solidFill>
                <a:ln>
                  <a:solidFill>
                    <a:srgbClr val="00206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EF-49FC-9F6C-1B0AE53108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rgbClr val="002060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Sheet1!$M$12:$AM$12</c:f>
              <c:numCache>
                <c:formatCode>dd/mm/yy;@</c:formatCode>
                <c:ptCount val="27"/>
                <c:pt idx="0">
                  <c:v>45940</c:v>
                </c:pt>
                <c:pt idx="1">
                  <c:v>45947</c:v>
                </c:pt>
                <c:pt idx="2">
                  <c:v>45954</c:v>
                </c:pt>
                <c:pt idx="3">
                  <c:v>45961</c:v>
                </c:pt>
                <c:pt idx="4">
                  <c:v>45968</c:v>
                </c:pt>
                <c:pt idx="5">
                  <c:v>45975</c:v>
                </c:pt>
                <c:pt idx="6">
                  <c:v>45982</c:v>
                </c:pt>
                <c:pt idx="7">
                  <c:v>45989</c:v>
                </c:pt>
                <c:pt idx="8">
                  <c:v>45996</c:v>
                </c:pt>
                <c:pt idx="9">
                  <c:v>46003</c:v>
                </c:pt>
                <c:pt idx="10">
                  <c:v>46010</c:v>
                </c:pt>
                <c:pt idx="11">
                  <c:v>46017</c:v>
                </c:pt>
                <c:pt idx="12">
                  <c:v>46024</c:v>
                </c:pt>
                <c:pt idx="13">
                  <c:v>46031</c:v>
                </c:pt>
                <c:pt idx="14">
                  <c:v>46038</c:v>
                </c:pt>
                <c:pt idx="15">
                  <c:v>46045</c:v>
                </c:pt>
                <c:pt idx="16">
                  <c:v>46052</c:v>
                </c:pt>
                <c:pt idx="17">
                  <c:v>46059</c:v>
                </c:pt>
                <c:pt idx="18">
                  <c:v>46066</c:v>
                </c:pt>
                <c:pt idx="19">
                  <c:v>46073</c:v>
                </c:pt>
                <c:pt idx="20">
                  <c:v>46080</c:v>
                </c:pt>
                <c:pt idx="21">
                  <c:v>46087</c:v>
                </c:pt>
                <c:pt idx="22">
                  <c:v>46094</c:v>
                </c:pt>
                <c:pt idx="23">
                  <c:v>46101</c:v>
                </c:pt>
                <c:pt idx="24">
                  <c:v>46108</c:v>
                </c:pt>
                <c:pt idx="25">
                  <c:v>46115</c:v>
                </c:pt>
                <c:pt idx="26">
                  <c:v>46122</c:v>
                </c:pt>
              </c:numCache>
            </c:numRef>
          </c:xVal>
          <c:yVal>
            <c:numRef>
              <c:f>Sheet1!$M$143:$AM$143</c:f>
              <c:numCache>
                <c:formatCode>0.00%</c:formatCode>
                <c:ptCount val="27"/>
                <c:pt idx="0" formatCode="0%">
                  <c:v>0</c:v>
                </c:pt>
                <c:pt idx="1">
                  <c:v>2.3304223768016434E-2</c:v>
                </c:pt>
                <c:pt idx="2">
                  <c:v>4.3097078963802056E-2</c:v>
                </c:pt>
                <c:pt idx="3">
                  <c:v>9.6651347310146324E-2</c:v>
                </c:pt>
                <c:pt idx="4">
                  <c:v>0.16096159939711085</c:v>
                </c:pt>
                <c:pt idx="5">
                  <c:v>0.19950267834222232</c:v>
                </c:pt>
                <c:pt idx="6">
                  <c:v>0.27550089303856068</c:v>
                </c:pt>
                <c:pt idx="7">
                  <c:v>0.30304240131401156</c:v>
                </c:pt>
                <c:pt idx="8">
                  <c:v>0.33019583497742877</c:v>
                </c:pt>
                <c:pt idx="9">
                  <c:v>0.3467488393105066</c:v>
                </c:pt>
                <c:pt idx="10">
                  <c:v>0.36860220277117661</c:v>
                </c:pt>
                <c:pt idx="11">
                  <c:v>0.39575556623184666</c:v>
                </c:pt>
                <c:pt idx="12">
                  <c:v>0.42920135097759959</c:v>
                </c:pt>
                <c:pt idx="13">
                  <c:v>0.49690987891029775</c:v>
                </c:pt>
                <c:pt idx="14">
                  <c:v>0.51100535458933993</c:v>
                </c:pt>
                <c:pt idx="15">
                  <c:v>0.51350535458933988</c:v>
                </c:pt>
                <c:pt idx="16">
                  <c:v>0.51600535458933983</c:v>
                </c:pt>
                <c:pt idx="17">
                  <c:v>0.52275490837356153</c:v>
                </c:pt>
                <c:pt idx="18">
                  <c:v>0.52950446215778324</c:v>
                </c:pt>
                <c:pt idx="19">
                  <c:v>0.53625401594200495</c:v>
                </c:pt>
                <c:pt idx="20">
                  <c:v>0.54300356972622665</c:v>
                </c:pt>
                <c:pt idx="21">
                  <c:v>0.54975312351044836</c:v>
                </c:pt>
                <c:pt idx="22">
                  <c:v>0.55650267729467007</c:v>
                </c:pt>
                <c:pt idx="23">
                  <c:v>0.56325223107889177</c:v>
                </c:pt>
                <c:pt idx="24">
                  <c:v>0.57000178486311348</c:v>
                </c:pt>
                <c:pt idx="25">
                  <c:v>0.57675133864733519</c:v>
                </c:pt>
                <c:pt idx="26">
                  <c:v>0.58350089243155689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EF-49FC-9F6C-1B0AE5310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220175"/>
        <c:axId val="2042207695"/>
      </c:scatterChart>
      <c:valAx>
        <c:axId val="2042220175"/>
        <c:scaling>
          <c:orientation val="minMax"/>
          <c:max val="46248"/>
          <c:min val="4594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/yy;@" sourceLinked="1"/>
        <c:majorTickMark val="out"/>
        <c:minorTickMark val="none"/>
        <c:tickLblPos val="nextTo"/>
        <c:crossAx val="2042207695"/>
        <c:crosses val="autoZero"/>
        <c:crossBetween val="midCat"/>
        <c:majorUnit val="7"/>
      </c:valAx>
      <c:valAx>
        <c:axId val="20422076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220175"/>
        <c:crosses val="autoZero"/>
        <c:crossBetween val="midCat"/>
        <c:majorUnit val="5.000000000000001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54405503233663"/>
          <c:y val="0.90855042085806759"/>
          <c:w val="0.13900732506475907"/>
          <c:h val="5.7176102765781875E-2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 w="38100">
          <a:solidFill>
            <a:srgbClr val="002060"/>
          </a:solidFill>
          <a:prstDash val="dash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paperSize="9" orientation="landscape" horizontalDpi="360" verticalDpi="36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35859</xdr:colOff>
      <xdr:row>0</xdr:row>
      <xdr:rowOff>80683</xdr:rowOff>
    </xdr:from>
    <xdr:to>
      <xdr:col>4</xdr:col>
      <xdr:colOff>377760</xdr:colOff>
      <xdr:row>3</xdr:row>
      <xdr:rowOff>30215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FDD634-685B-4B0C-BF58-1A7D4EA69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59" y="80683"/>
          <a:ext cx="1668677" cy="541203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12</xdr:row>
      <xdr:rowOff>38100</xdr:rowOff>
    </xdr:from>
    <xdr:to>
      <xdr:col>56</xdr:col>
      <xdr:colOff>533400</xdr:colOff>
      <xdr:row>135</xdr:row>
      <xdr:rowOff>163286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5B86C3-C4E0-4913-AC2B-BF2F38E8B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KJ/Tahap%20II/RAP,%20RAB,%20TIME%20LINE%20INTERIOR%20LT.3%20CKJ%20(TAHAP%20II)%20ori.xlsx" TargetMode="External"/><Relationship Id="rId2" Type="http://schemas.openxmlformats.org/officeDocument/2006/relationships/externalLinkPath" Target="file:///D:\TSI\CKJ\Tahap%20II\RAP,%20RAB,%20TIME%20LINE%20INTERIOR%20LT.3%20CKJ%20(TAHAP%20II)%20ori.xlsx" TargetMode="External"/><Relationship Id="rId1" Type="http://schemas.openxmlformats.org/officeDocument/2006/relationships/externalLinkPath" Target="/TSI/CKJ/Tahap%20II/RAP,%20RAB,%20TIME%20LINE%20INTERIOR%20LT.3%20CKJ%20(TAHAP%20II)%20o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KAP"/>
      <sheetName val="S-CURVE"/>
      <sheetName val="TIME LINE"/>
      <sheetName val="RAB"/>
      <sheetName val="RAP"/>
      <sheetName val="Category Expense"/>
      <sheetName val="QUANTITY"/>
      <sheetName val="CASH FLOW"/>
      <sheetName val="Note"/>
    </sheetNames>
    <sheetDataSet>
      <sheetData sheetId="0">
        <row r="12">
          <cell r="D12" t="str">
            <v>:</v>
          </cell>
        </row>
        <row r="14">
          <cell r="D14" t="str">
            <v>:</v>
          </cell>
        </row>
        <row r="15">
          <cell r="D15" t="str">
            <v>: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8DB2C-1D42-4045-AAC6-BC0913CC1992}">
  <sheetPr>
    <pageSetUpPr fitToPage="1"/>
  </sheetPr>
  <dimension ref="A5:BQ148"/>
  <sheetViews>
    <sheetView showGridLines="0" tabSelected="1" view="pageBreakPreview" zoomScale="70" zoomScaleNormal="10" zoomScaleSheetLayoutView="70" workbookViewId="0">
      <pane xSplit="12" ySplit="13" topLeftCell="M128" activePane="bottomRight" state="frozen"/>
      <selection pane="topRight" activeCell="M1" sqref="M1"/>
      <selection pane="bottomLeft" activeCell="A14" sqref="A14"/>
      <selection pane="bottomRight" activeCell="F139" sqref="F139"/>
    </sheetView>
  </sheetViews>
  <sheetFormatPr defaultColWidth="9.109375" defaultRowHeight="15.6" outlineLevelRow="1" x14ac:dyDescent="0.3"/>
  <cols>
    <col min="1" max="1" width="5.88671875" style="1" customWidth="1"/>
    <col min="2" max="2" width="5" style="2" customWidth="1"/>
    <col min="3" max="3" width="5.88671875" style="1" customWidth="1"/>
    <col min="4" max="4" width="2.6640625" style="1" customWidth="1"/>
    <col min="5" max="5" width="9.109375" style="1"/>
    <col min="6" max="6" width="17.44140625" style="1" customWidth="1"/>
    <col min="7" max="7" width="6.6640625" style="1" customWidth="1"/>
    <col min="8" max="8" width="10.5546875" style="3" customWidth="1"/>
    <col min="9" max="10" width="8.33203125" style="4" customWidth="1"/>
    <col min="11" max="11" width="10.6640625" style="5" customWidth="1"/>
    <col min="12" max="12" width="2.88671875" style="1" customWidth="1"/>
    <col min="13" max="13" width="11.21875" style="1" customWidth="1"/>
    <col min="14" max="57" width="9.33203125" style="1" customWidth="1"/>
    <col min="58" max="16384" width="9.109375" style="1"/>
  </cols>
  <sheetData>
    <row r="5" spans="1:69" x14ac:dyDescent="0.3">
      <c r="A5" s="6" t="s">
        <v>25</v>
      </c>
      <c r="B5" s="6"/>
      <c r="D5" s="6" t="str">
        <f>[1]REKAP!D12</f>
        <v>:</v>
      </c>
      <c r="E5" s="1" t="s">
        <v>27</v>
      </c>
      <c r="H5" s="8"/>
      <c r="I5" s="9"/>
      <c r="J5" s="9"/>
      <c r="K5" s="10"/>
      <c r="L5" s="7"/>
      <c r="M5" s="7"/>
    </row>
    <row r="6" spans="1:69" x14ac:dyDescent="0.3">
      <c r="A6" s="6" t="s">
        <v>26</v>
      </c>
      <c r="B6" s="6"/>
      <c r="D6" s="6" t="str">
        <f>[1]REKAP!D14</f>
        <v>:</v>
      </c>
      <c r="E6" s="1" t="s">
        <v>28</v>
      </c>
      <c r="H6" s="8"/>
      <c r="I6" s="9"/>
      <c r="J6" s="9"/>
      <c r="K6" s="10"/>
      <c r="L6" s="7"/>
      <c r="M6" s="7"/>
    </row>
    <row r="7" spans="1:69" x14ac:dyDescent="0.3">
      <c r="A7" s="6" t="s">
        <v>29</v>
      </c>
      <c r="B7" s="11"/>
      <c r="D7" s="6" t="str">
        <f>[1]REKAP!D15</f>
        <v>:</v>
      </c>
      <c r="E7" s="2" t="s">
        <v>30</v>
      </c>
      <c r="H7" s="13"/>
      <c r="I7" s="14"/>
      <c r="J7" s="14"/>
      <c r="K7" s="15"/>
      <c r="L7" s="12"/>
      <c r="M7" s="12"/>
    </row>
    <row r="8" spans="1:69" ht="7.5" customHeight="1" thickBot="1" x14ac:dyDescent="0.35">
      <c r="A8" s="157"/>
      <c r="B8" s="157"/>
      <c r="C8" s="157"/>
      <c r="D8" s="157"/>
      <c r="E8" s="157"/>
      <c r="F8" s="157"/>
      <c r="G8" s="157"/>
    </row>
    <row r="9" spans="1:69" ht="16.2" thickTop="1" x14ac:dyDescent="0.3">
      <c r="A9" s="16"/>
      <c r="B9" s="17"/>
      <c r="C9" s="18"/>
      <c r="D9" s="18"/>
      <c r="E9" s="18"/>
      <c r="F9" s="18"/>
      <c r="G9" s="18"/>
      <c r="H9" s="19" t="s">
        <v>0</v>
      </c>
      <c r="I9" s="20"/>
      <c r="J9" s="20"/>
      <c r="K9" s="21" t="s">
        <v>1</v>
      </c>
      <c r="L9" s="22"/>
      <c r="M9" s="22"/>
      <c r="N9" s="158" t="s">
        <v>2</v>
      </c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60"/>
      <c r="AN9" s="178" t="s">
        <v>169</v>
      </c>
      <c r="AO9" s="179"/>
      <c r="AP9" s="179"/>
      <c r="AQ9" s="179"/>
      <c r="AR9" s="179"/>
      <c r="AS9" s="179"/>
      <c r="AT9" s="179"/>
      <c r="AU9" s="179"/>
      <c r="AV9" s="179"/>
      <c r="AW9" s="179"/>
      <c r="AX9" s="179"/>
      <c r="AY9" s="179"/>
      <c r="AZ9" s="179"/>
      <c r="BA9" s="179"/>
      <c r="BB9" s="179"/>
      <c r="BC9" s="179"/>
      <c r="BD9" s="179"/>
      <c r="BE9" s="179"/>
    </row>
    <row r="10" spans="1:69" x14ac:dyDescent="0.3">
      <c r="A10" s="23" t="s">
        <v>3</v>
      </c>
      <c r="B10" s="155" t="s">
        <v>4</v>
      </c>
      <c r="C10" s="156"/>
      <c r="D10" s="156"/>
      <c r="E10" s="156"/>
      <c r="F10" s="156"/>
      <c r="G10" s="24"/>
      <c r="H10" s="25" t="s">
        <v>5</v>
      </c>
      <c r="I10" s="26" t="s">
        <v>6</v>
      </c>
      <c r="J10" s="26" t="s">
        <v>7</v>
      </c>
      <c r="K10" s="27" t="s">
        <v>5</v>
      </c>
      <c r="L10" s="22"/>
      <c r="M10" s="22"/>
      <c r="N10" s="151">
        <v>45931</v>
      </c>
      <c r="O10" s="152"/>
      <c r="P10" s="152"/>
      <c r="Q10" s="147">
        <v>45962</v>
      </c>
      <c r="R10" s="148"/>
      <c r="S10" s="148"/>
      <c r="T10" s="149"/>
      <c r="U10" s="147">
        <v>45992</v>
      </c>
      <c r="V10" s="148"/>
      <c r="W10" s="148"/>
      <c r="X10" s="149"/>
      <c r="Y10" s="147">
        <v>46023</v>
      </c>
      <c r="Z10" s="148"/>
      <c r="AA10" s="148"/>
      <c r="AB10" s="148"/>
      <c r="AC10" s="149"/>
      <c r="AD10" s="147">
        <v>46054</v>
      </c>
      <c r="AE10" s="148"/>
      <c r="AF10" s="148"/>
      <c r="AG10" s="149"/>
      <c r="AH10" s="147">
        <v>46082</v>
      </c>
      <c r="AI10" s="148"/>
      <c r="AJ10" s="148"/>
      <c r="AK10" s="149"/>
      <c r="AL10" s="174">
        <v>46113</v>
      </c>
      <c r="AM10" s="175"/>
      <c r="AN10" s="175"/>
      <c r="AO10" s="175"/>
      <c r="AP10" s="174">
        <v>46143</v>
      </c>
      <c r="AQ10" s="175"/>
      <c r="AR10" s="175"/>
      <c r="AS10" s="175"/>
      <c r="AT10" s="175"/>
      <c r="AU10" s="174">
        <v>46174</v>
      </c>
      <c r="AV10" s="175"/>
      <c r="AW10" s="175"/>
      <c r="AX10" s="175"/>
      <c r="AY10" s="174">
        <v>46204</v>
      </c>
      <c r="AZ10" s="175"/>
      <c r="BA10" s="175"/>
      <c r="BB10" s="175"/>
      <c r="BC10" s="174">
        <v>46235</v>
      </c>
      <c r="BD10" s="175"/>
      <c r="BE10" s="175"/>
    </row>
    <row r="11" spans="1:69" ht="16.2" thickBot="1" x14ac:dyDescent="0.35">
      <c r="A11" s="28"/>
      <c r="B11" s="29"/>
      <c r="C11" s="30"/>
      <c r="D11" s="30"/>
      <c r="E11" s="30"/>
      <c r="F11" s="30"/>
      <c r="G11" s="30"/>
      <c r="H11" s="25"/>
      <c r="I11" s="26"/>
      <c r="J11" s="26"/>
      <c r="K11" s="27" t="s">
        <v>8</v>
      </c>
      <c r="L11" s="22"/>
      <c r="M11" s="22"/>
      <c r="N11" s="131" t="s">
        <v>123</v>
      </c>
      <c r="O11" s="132" t="s">
        <v>124</v>
      </c>
      <c r="P11" s="132" t="s">
        <v>125</v>
      </c>
      <c r="Q11" s="132" t="s">
        <v>126</v>
      </c>
      <c r="R11" s="132" t="s">
        <v>127</v>
      </c>
      <c r="S11" s="132" t="s">
        <v>128</v>
      </c>
      <c r="T11" s="132" t="s">
        <v>129</v>
      </c>
      <c r="U11" s="132" t="s">
        <v>130</v>
      </c>
      <c r="V11" s="132" t="s">
        <v>131</v>
      </c>
      <c r="W11" s="132" t="s">
        <v>132</v>
      </c>
      <c r="X11" s="132" t="s">
        <v>133</v>
      </c>
      <c r="Y11" s="132" t="s">
        <v>134</v>
      </c>
      <c r="Z11" s="132" t="s">
        <v>135</v>
      </c>
      <c r="AA11" s="132" t="s">
        <v>136</v>
      </c>
      <c r="AB11" s="132" t="s">
        <v>137</v>
      </c>
      <c r="AC11" s="132" t="s">
        <v>138</v>
      </c>
      <c r="AD11" s="132" t="s">
        <v>139</v>
      </c>
      <c r="AE11" s="132" t="s">
        <v>140</v>
      </c>
      <c r="AF11" s="132" t="s">
        <v>141</v>
      </c>
      <c r="AG11" s="132" t="s">
        <v>142</v>
      </c>
      <c r="AH11" s="132" t="s">
        <v>143</v>
      </c>
      <c r="AI11" s="132" t="s">
        <v>144</v>
      </c>
      <c r="AJ11" s="132" t="s">
        <v>145</v>
      </c>
      <c r="AK11" s="132" t="s">
        <v>146</v>
      </c>
      <c r="AL11" s="132" t="s">
        <v>147</v>
      </c>
      <c r="AM11" s="133" t="s">
        <v>148</v>
      </c>
      <c r="AN11" s="132" t="s">
        <v>151</v>
      </c>
      <c r="AO11" s="133" t="s">
        <v>152</v>
      </c>
      <c r="AP11" s="132" t="s">
        <v>153</v>
      </c>
      <c r="AQ11" s="133" t="s">
        <v>154</v>
      </c>
      <c r="AR11" s="132" t="s">
        <v>155</v>
      </c>
      <c r="AS11" s="133" t="s">
        <v>156</v>
      </c>
      <c r="AT11" s="132" t="s">
        <v>157</v>
      </c>
      <c r="AU11" s="133" t="s">
        <v>158</v>
      </c>
      <c r="AV11" s="132" t="s">
        <v>159</v>
      </c>
      <c r="AW11" s="133" t="s">
        <v>160</v>
      </c>
      <c r="AX11" s="132" t="s">
        <v>161</v>
      </c>
      <c r="AY11" s="133" t="s">
        <v>162</v>
      </c>
      <c r="AZ11" s="132" t="s">
        <v>163</v>
      </c>
      <c r="BA11" s="133" t="s">
        <v>164</v>
      </c>
      <c r="BB11" s="132" t="s">
        <v>165</v>
      </c>
      <c r="BC11" s="132" t="s">
        <v>166</v>
      </c>
      <c r="BD11" s="132" t="s">
        <v>167</v>
      </c>
      <c r="BE11" s="133" t="s">
        <v>168</v>
      </c>
    </row>
    <row r="12" spans="1:69" x14ac:dyDescent="0.3">
      <c r="A12" s="23">
        <v>1</v>
      </c>
      <c r="B12" s="155">
        <v>2</v>
      </c>
      <c r="C12" s="156"/>
      <c r="D12" s="156"/>
      <c r="E12" s="156"/>
      <c r="F12" s="156"/>
      <c r="G12" s="24"/>
      <c r="H12" s="31">
        <v>3</v>
      </c>
      <c r="I12" s="130">
        <v>4</v>
      </c>
      <c r="J12" s="130">
        <v>5</v>
      </c>
      <c r="K12" s="27">
        <v>6</v>
      </c>
      <c r="L12" s="22"/>
      <c r="M12" s="145">
        <v>45940</v>
      </c>
      <c r="N12" s="129">
        <v>45947</v>
      </c>
      <c r="O12" s="129">
        <f>N12+7</f>
        <v>45954</v>
      </c>
      <c r="P12" s="129">
        <f t="shared" ref="P12:AL12" si="0">O12+7</f>
        <v>45961</v>
      </c>
      <c r="Q12" s="129">
        <f t="shared" si="0"/>
        <v>45968</v>
      </c>
      <c r="R12" s="129">
        <f t="shared" si="0"/>
        <v>45975</v>
      </c>
      <c r="S12" s="129">
        <f t="shared" si="0"/>
        <v>45982</v>
      </c>
      <c r="T12" s="129">
        <f t="shared" si="0"/>
        <v>45989</v>
      </c>
      <c r="U12" s="129">
        <f t="shared" si="0"/>
        <v>45996</v>
      </c>
      <c r="V12" s="129">
        <f t="shared" si="0"/>
        <v>46003</v>
      </c>
      <c r="W12" s="129">
        <f t="shared" si="0"/>
        <v>46010</v>
      </c>
      <c r="X12" s="129">
        <f t="shared" si="0"/>
        <v>46017</v>
      </c>
      <c r="Y12" s="129">
        <f t="shared" si="0"/>
        <v>46024</v>
      </c>
      <c r="Z12" s="129">
        <f t="shared" si="0"/>
        <v>46031</v>
      </c>
      <c r="AA12" s="129">
        <f t="shared" si="0"/>
        <v>46038</v>
      </c>
      <c r="AB12" s="129">
        <f t="shared" si="0"/>
        <v>46045</v>
      </c>
      <c r="AC12" s="129">
        <f t="shared" si="0"/>
        <v>46052</v>
      </c>
      <c r="AD12" s="129">
        <f t="shared" si="0"/>
        <v>46059</v>
      </c>
      <c r="AE12" s="129">
        <f t="shared" si="0"/>
        <v>46066</v>
      </c>
      <c r="AF12" s="129">
        <f t="shared" si="0"/>
        <v>46073</v>
      </c>
      <c r="AG12" s="129">
        <f t="shared" si="0"/>
        <v>46080</v>
      </c>
      <c r="AH12" s="129">
        <f t="shared" si="0"/>
        <v>46087</v>
      </c>
      <c r="AI12" s="129">
        <f t="shared" si="0"/>
        <v>46094</v>
      </c>
      <c r="AJ12" s="129">
        <f t="shared" si="0"/>
        <v>46101</v>
      </c>
      <c r="AK12" s="129">
        <f t="shared" si="0"/>
        <v>46108</v>
      </c>
      <c r="AL12" s="129">
        <f t="shared" si="0"/>
        <v>46115</v>
      </c>
      <c r="AM12" s="129">
        <f>AL12+7</f>
        <v>46122</v>
      </c>
      <c r="AN12" s="129">
        <f t="shared" ref="AN12:AO12" si="1">AM12+7</f>
        <v>46129</v>
      </c>
      <c r="AO12" s="129">
        <f t="shared" si="1"/>
        <v>46136</v>
      </c>
      <c r="AP12" s="129">
        <f t="shared" ref="AP12:AQ12" si="2">AO12+7</f>
        <v>46143</v>
      </c>
      <c r="AQ12" s="129">
        <f t="shared" si="2"/>
        <v>46150</v>
      </c>
      <c r="AR12" s="129">
        <f t="shared" ref="AR12:AS12" si="3">AQ12+7</f>
        <v>46157</v>
      </c>
      <c r="AS12" s="129">
        <f t="shared" si="3"/>
        <v>46164</v>
      </c>
      <c r="AT12" s="129">
        <f t="shared" ref="AT12:AU12" si="4">AS12+7</f>
        <v>46171</v>
      </c>
      <c r="AU12" s="129">
        <f t="shared" si="4"/>
        <v>46178</v>
      </c>
      <c r="AV12" s="129">
        <f t="shared" ref="AV12:AW12" si="5">AU12+7</f>
        <v>46185</v>
      </c>
      <c r="AW12" s="129">
        <f t="shared" si="5"/>
        <v>46192</v>
      </c>
      <c r="AX12" s="129">
        <f t="shared" ref="AX12:AY12" si="6">AW12+7</f>
        <v>46199</v>
      </c>
      <c r="AY12" s="129">
        <f t="shared" si="6"/>
        <v>46206</v>
      </c>
      <c r="AZ12" s="129">
        <f t="shared" ref="AZ12:BA12" si="7">AY12+7</f>
        <v>46213</v>
      </c>
      <c r="BA12" s="129">
        <f t="shared" si="7"/>
        <v>46220</v>
      </c>
      <c r="BB12" s="129">
        <f t="shared" ref="BB12:BC12" si="8">BA12+7</f>
        <v>46227</v>
      </c>
      <c r="BC12" s="129">
        <f t="shared" si="8"/>
        <v>46234</v>
      </c>
      <c r="BD12" s="129">
        <f t="shared" ref="BD12:BE12" si="9">BC12+7</f>
        <v>46241</v>
      </c>
      <c r="BE12" s="129">
        <f t="shared" si="9"/>
        <v>46248</v>
      </c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ht="4.95" customHeight="1" x14ac:dyDescent="0.3">
      <c r="A13" s="33"/>
      <c r="B13" s="34"/>
      <c r="C13" s="35"/>
      <c r="D13" s="35"/>
      <c r="E13" s="35"/>
      <c r="F13" s="35"/>
      <c r="G13" s="35"/>
      <c r="H13" s="36"/>
      <c r="I13" s="37"/>
      <c r="J13" s="37"/>
      <c r="K13" s="38"/>
      <c r="L13" s="39"/>
      <c r="M13" s="3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8" customFormat="1" x14ac:dyDescent="0.3">
      <c r="A14" s="40" t="s">
        <v>9</v>
      </c>
      <c r="B14" s="41" t="s">
        <v>10</v>
      </c>
      <c r="C14" s="42"/>
      <c r="D14" s="42"/>
      <c r="E14" s="42"/>
      <c r="F14" s="42"/>
      <c r="G14" s="42"/>
      <c r="H14" s="43"/>
      <c r="I14" s="44"/>
      <c r="J14" s="44"/>
      <c r="K14" s="45"/>
      <c r="L14" s="46"/>
      <c r="M14" s="46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6"/>
      <c r="BD14" s="136"/>
      <c r="BE14" s="136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</row>
    <row r="15" spans="1:69" x14ac:dyDescent="0.3">
      <c r="A15" s="57">
        <v>1</v>
      </c>
      <c r="B15" s="50" t="s">
        <v>31</v>
      </c>
      <c r="C15" s="50"/>
      <c r="D15" s="58"/>
      <c r="E15" s="59"/>
      <c r="F15" s="52"/>
      <c r="G15" s="52"/>
      <c r="H15" s="53">
        <v>3.6310657504044909E-3</v>
      </c>
      <c r="I15" s="129">
        <v>45940</v>
      </c>
      <c r="J15" s="54">
        <f>O12</f>
        <v>45954</v>
      </c>
      <c r="K15" s="55">
        <f>J15-I15</f>
        <v>14</v>
      </c>
      <c r="L15" s="180"/>
      <c r="M15" s="56"/>
      <c r="N15" s="135">
        <f>$H$15/2</f>
        <v>1.8155328752022454E-3</v>
      </c>
      <c r="O15" s="135">
        <f>$H$15/2</f>
        <v>1.8155328752022454E-3</v>
      </c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  <c r="AV15" s="135"/>
      <c r="AW15" s="135"/>
      <c r="AX15" s="135"/>
      <c r="AY15" s="135"/>
      <c r="AZ15" s="135"/>
      <c r="BA15" s="135"/>
      <c r="BB15" s="135"/>
      <c r="BC15" s="135"/>
      <c r="BD15" s="135"/>
      <c r="BE15" s="135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x14ac:dyDescent="0.3">
      <c r="A16" s="57">
        <v>2</v>
      </c>
      <c r="B16" s="50" t="s">
        <v>32</v>
      </c>
      <c r="C16" s="50"/>
      <c r="D16" s="58"/>
      <c r="E16" s="59"/>
      <c r="F16" s="52"/>
      <c r="G16" s="52"/>
      <c r="H16" s="53">
        <v>4.8692452591631106E-3</v>
      </c>
      <c r="I16" s="54">
        <f>I15</f>
        <v>45940</v>
      </c>
      <c r="J16" s="54">
        <f>AM12</f>
        <v>46122</v>
      </c>
      <c r="K16" s="55">
        <f>J16-I16</f>
        <v>182</v>
      </c>
      <c r="L16" s="180"/>
      <c r="M16" s="56"/>
      <c r="N16" s="135">
        <f>$H$16/26</f>
        <v>1.872786638139658E-4</v>
      </c>
      <c r="O16" s="135">
        <f t="shared" ref="O14:AN17" si="10">$H$16/26</f>
        <v>1.872786638139658E-4</v>
      </c>
      <c r="P16" s="135">
        <f t="shared" si="10"/>
        <v>1.872786638139658E-4</v>
      </c>
      <c r="Q16" s="135">
        <f t="shared" si="10"/>
        <v>1.872786638139658E-4</v>
      </c>
      <c r="R16" s="135">
        <f t="shared" si="10"/>
        <v>1.872786638139658E-4</v>
      </c>
      <c r="S16" s="135">
        <f t="shared" si="10"/>
        <v>1.872786638139658E-4</v>
      </c>
      <c r="T16" s="135">
        <f t="shared" si="10"/>
        <v>1.872786638139658E-4</v>
      </c>
      <c r="U16" s="135">
        <f t="shared" si="10"/>
        <v>1.872786638139658E-4</v>
      </c>
      <c r="V16" s="135">
        <f t="shared" si="10"/>
        <v>1.872786638139658E-4</v>
      </c>
      <c r="W16" s="135">
        <f t="shared" si="10"/>
        <v>1.872786638139658E-4</v>
      </c>
      <c r="X16" s="135">
        <f t="shared" si="10"/>
        <v>1.872786638139658E-4</v>
      </c>
      <c r="Y16" s="135">
        <f t="shared" si="10"/>
        <v>1.872786638139658E-4</v>
      </c>
      <c r="Z16" s="135">
        <f t="shared" si="10"/>
        <v>1.872786638139658E-4</v>
      </c>
      <c r="AA16" s="135">
        <f t="shared" si="10"/>
        <v>1.872786638139658E-4</v>
      </c>
      <c r="AB16" s="135">
        <f t="shared" si="10"/>
        <v>1.872786638139658E-4</v>
      </c>
      <c r="AC16" s="135">
        <f t="shared" si="10"/>
        <v>1.872786638139658E-4</v>
      </c>
      <c r="AD16" s="135">
        <f t="shared" si="10"/>
        <v>1.872786638139658E-4</v>
      </c>
      <c r="AE16" s="135">
        <f t="shared" si="10"/>
        <v>1.872786638139658E-4</v>
      </c>
      <c r="AF16" s="135">
        <f t="shared" si="10"/>
        <v>1.872786638139658E-4</v>
      </c>
      <c r="AG16" s="135">
        <f t="shared" si="10"/>
        <v>1.872786638139658E-4</v>
      </c>
      <c r="AH16" s="135">
        <f t="shared" si="10"/>
        <v>1.872786638139658E-4</v>
      </c>
      <c r="AI16" s="135">
        <f t="shared" si="10"/>
        <v>1.872786638139658E-4</v>
      </c>
      <c r="AJ16" s="135">
        <f t="shared" si="10"/>
        <v>1.872786638139658E-4</v>
      </c>
      <c r="AK16" s="135">
        <f t="shared" si="10"/>
        <v>1.872786638139658E-4</v>
      </c>
      <c r="AL16" s="135">
        <f t="shared" si="10"/>
        <v>1.872786638139658E-4</v>
      </c>
      <c r="AM16" s="135">
        <f t="shared" si="10"/>
        <v>1.872786638139658E-4</v>
      </c>
      <c r="AN16" s="135"/>
      <c r="AO16" s="135"/>
      <c r="AP16" s="135"/>
      <c r="AQ16" s="135"/>
      <c r="AR16" s="135"/>
      <c r="AS16" s="135"/>
      <c r="AT16" s="135"/>
      <c r="AU16" s="135"/>
      <c r="AV16" s="135"/>
      <c r="AW16" s="135"/>
      <c r="AX16" s="135"/>
      <c r="AY16" s="135"/>
      <c r="AZ16" s="135"/>
      <c r="BA16" s="135"/>
      <c r="BB16" s="135"/>
      <c r="BC16" s="135"/>
      <c r="BD16" s="135"/>
      <c r="BE16" s="135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x14ac:dyDescent="0.3">
      <c r="A17" s="57">
        <v>3</v>
      </c>
      <c r="B17" s="50" t="s">
        <v>33</v>
      </c>
      <c r="C17" s="50"/>
      <c r="D17" s="58"/>
      <c r="E17" s="59"/>
      <c r="F17" s="52"/>
      <c r="G17" s="52"/>
      <c r="H17" s="53">
        <v>4.8692452591631106E-3</v>
      </c>
      <c r="I17" s="54">
        <f>I15</f>
        <v>45940</v>
      </c>
      <c r="J17" s="54">
        <f>AM12</f>
        <v>46122</v>
      </c>
      <c r="K17" s="55">
        <f>J17-I17</f>
        <v>182</v>
      </c>
      <c r="L17" s="180"/>
      <c r="M17" s="56"/>
      <c r="N17" s="135">
        <f>$H$16/26</f>
        <v>1.872786638139658E-4</v>
      </c>
      <c r="O17" s="135">
        <f t="shared" si="10"/>
        <v>1.872786638139658E-4</v>
      </c>
      <c r="P17" s="135">
        <f t="shared" si="10"/>
        <v>1.872786638139658E-4</v>
      </c>
      <c r="Q17" s="135">
        <f t="shared" si="10"/>
        <v>1.872786638139658E-4</v>
      </c>
      <c r="R17" s="135">
        <f t="shared" si="10"/>
        <v>1.872786638139658E-4</v>
      </c>
      <c r="S17" s="135">
        <f t="shared" si="10"/>
        <v>1.872786638139658E-4</v>
      </c>
      <c r="T17" s="135">
        <f t="shared" si="10"/>
        <v>1.872786638139658E-4</v>
      </c>
      <c r="U17" s="135">
        <f t="shared" si="10"/>
        <v>1.872786638139658E-4</v>
      </c>
      <c r="V17" s="135">
        <f t="shared" si="10"/>
        <v>1.872786638139658E-4</v>
      </c>
      <c r="W17" s="135">
        <f t="shared" si="10"/>
        <v>1.872786638139658E-4</v>
      </c>
      <c r="X17" s="135">
        <f t="shared" si="10"/>
        <v>1.872786638139658E-4</v>
      </c>
      <c r="Y17" s="135">
        <f t="shared" si="10"/>
        <v>1.872786638139658E-4</v>
      </c>
      <c r="Z17" s="135">
        <f t="shared" si="10"/>
        <v>1.872786638139658E-4</v>
      </c>
      <c r="AA17" s="135">
        <f t="shared" si="10"/>
        <v>1.872786638139658E-4</v>
      </c>
      <c r="AB17" s="135">
        <f t="shared" si="10"/>
        <v>1.872786638139658E-4</v>
      </c>
      <c r="AC17" s="135">
        <f t="shared" si="10"/>
        <v>1.872786638139658E-4</v>
      </c>
      <c r="AD17" s="135">
        <f t="shared" si="10"/>
        <v>1.872786638139658E-4</v>
      </c>
      <c r="AE17" s="135">
        <f t="shared" si="10"/>
        <v>1.872786638139658E-4</v>
      </c>
      <c r="AF17" s="135">
        <f t="shared" si="10"/>
        <v>1.872786638139658E-4</v>
      </c>
      <c r="AG17" s="135">
        <f t="shared" si="10"/>
        <v>1.872786638139658E-4</v>
      </c>
      <c r="AH17" s="135">
        <f t="shared" si="10"/>
        <v>1.872786638139658E-4</v>
      </c>
      <c r="AI17" s="135">
        <f t="shared" si="10"/>
        <v>1.872786638139658E-4</v>
      </c>
      <c r="AJ17" s="135">
        <f t="shared" si="10"/>
        <v>1.872786638139658E-4</v>
      </c>
      <c r="AK17" s="135">
        <f t="shared" si="10"/>
        <v>1.872786638139658E-4</v>
      </c>
      <c r="AL17" s="135">
        <f t="shared" si="10"/>
        <v>1.872786638139658E-4</v>
      </c>
      <c r="AM17" s="135">
        <f t="shared" si="10"/>
        <v>1.872786638139658E-4</v>
      </c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135"/>
      <c r="BD17" s="135"/>
      <c r="BE17" s="135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x14ac:dyDescent="0.3">
      <c r="A18" s="57">
        <v>4</v>
      </c>
      <c r="B18" s="50" t="s">
        <v>34</v>
      </c>
      <c r="C18" s="50"/>
      <c r="D18" s="58"/>
      <c r="E18" s="59"/>
      <c r="F18" s="52"/>
      <c r="G18" s="52"/>
      <c r="H18" s="53">
        <v>7.0227371444616243E-3</v>
      </c>
      <c r="I18" s="54">
        <f>I15</f>
        <v>45940</v>
      </c>
      <c r="J18" s="54">
        <f>J17</f>
        <v>46122</v>
      </c>
      <c r="K18" s="55">
        <v>2</v>
      </c>
      <c r="L18" s="180"/>
      <c r="M18" s="56"/>
      <c r="N18" s="135">
        <f>H18/2</f>
        <v>3.5113685722308122E-3</v>
      </c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>
        <f>H18/2</f>
        <v>3.5113685722308122E-3</v>
      </c>
      <c r="AN18" s="135"/>
      <c r="AO18" s="135"/>
      <c r="AP18" s="135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5"/>
      <c r="BD18" s="135"/>
      <c r="BE18" s="135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</row>
    <row r="19" spans="1:69" x14ac:dyDescent="0.3">
      <c r="A19" s="57">
        <v>5</v>
      </c>
      <c r="B19" s="50" t="s">
        <v>35</v>
      </c>
      <c r="C19" s="50"/>
      <c r="D19" s="58"/>
      <c r="E19" s="59"/>
      <c r="F19" s="52"/>
      <c r="G19" s="52"/>
      <c r="H19" s="53">
        <v>4.8692452591631106E-3</v>
      </c>
      <c r="I19" s="54">
        <f>I15</f>
        <v>45940</v>
      </c>
      <c r="J19" s="54">
        <f>J18</f>
        <v>46122</v>
      </c>
      <c r="K19" s="55">
        <f>IF(COUNT(N19:AM19)=0,"",COUNT(N19:AM19))</f>
        <v>26</v>
      </c>
      <c r="L19" s="180"/>
      <c r="M19" s="56"/>
      <c r="N19" s="135">
        <f>$H$19/26</f>
        <v>1.872786638139658E-4</v>
      </c>
      <c r="O19" s="135">
        <f t="shared" ref="O17:AN19" si="11">$H$19/26</f>
        <v>1.872786638139658E-4</v>
      </c>
      <c r="P19" s="135">
        <f t="shared" si="11"/>
        <v>1.872786638139658E-4</v>
      </c>
      <c r="Q19" s="135">
        <f t="shared" si="11"/>
        <v>1.872786638139658E-4</v>
      </c>
      <c r="R19" s="135">
        <f t="shared" si="11"/>
        <v>1.872786638139658E-4</v>
      </c>
      <c r="S19" s="135">
        <f t="shared" si="11"/>
        <v>1.872786638139658E-4</v>
      </c>
      <c r="T19" s="135">
        <f t="shared" si="11"/>
        <v>1.872786638139658E-4</v>
      </c>
      <c r="U19" s="135">
        <f t="shared" si="11"/>
        <v>1.872786638139658E-4</v>
      </c>
      <c r="V19" s="135">
        <f t="shared" si="11"/>
        <v>1.872786638139658E-4</v>
      </c>
      <c r="W19" s="135">
        <f t="shared" si="11"/>
        <v>1.872786638139658E-4</v>
      </c>
      <c r="X19" s="135">
        <f t="shared" si="11"/>
        <v>1.872786638139658E-4</v>
      </c>
      <c r="Y19" s="135">
        <f t="shared" si="11"/>
        <v>1.872786638139658E-4</v>
      </c>
      <c r="Z19" s="135">
        <f t="shared" si="11"/>
        <v>1.872786638139658E-4</v>
      </c>
      <c r="AA19" s="135">
        <f t="shared" si="11"/>
        <v>1.872786638139658E-4</v>
      </c>
      <c r="AB19" s="135">
        <f t="shared" si="11"/>
        <v>1.872786638139658E-4</v>
      </c>
      <c r="AC19" s="135">
        <f t="shared" si="11"/>
        <v>1.872786638139658E-4</v>
      </c>
      <c r="AD19" s="135">
        <f t="shared" si="11"/>
        <v>1.872786638139658E-4</v>
      </c>
      <c r="AE19" s="135">
        <f t="shared" si="11"/>
        <v>1.872786638139658E-4</v>
      </c>
      <c r="AF19" s="135">
        <f t="shared" si="11"/>
        <v>1.872786638139658E-4</v>
      </c>
      <c r="AG19" s="135">
        <f t="shared" si="11"/>
        <v>1.872786638139658E-4</v>
      </c>
      <c r="AH19" s="135">
        <f t="shared" si="11"/>
        <v>1.872786638139658E-4</v>
      </c>
      <c r="AI19" s="135">
        <f t="shared" si="11"/>
        <v>1.872786638139658E-4</v>
      </c>
      <c r="AJ19" s="135">
        <f t="shared" si="11"/>
        <v>1.872786638139658E-4</v>
      </c>
      <c r="AK19" s="135">
        <f t="shared" si="11"/>
        <v>1.872786638139658E-4</v>
      </c>
      <c r="AL19" s="135">
        <f t="shared" si="11"/>
        <v>1.872786638139658E-4</v>
      </c>
      <c r="AM19" s="135">
        <f t="shared" si="11"/>
        <v>1.872786638139658E-4</v>
      </c>
      <c r="AN19" s="135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  <c r="AY19" s="135"/>
      <c r="AZ19" s="135"/>
      <c r="BA19" s="135"/>
      <c r="BB19" s="135"/>
      <c r="BC19" s="135"/>
      <c r="BD19" s="135"/>
      <c r="BE19" s="135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</row>
    <row r="20" spans="1:69" ht="4.95" customHeight="1" x14ac:dyDescent="0.3">
      <c r="A20" s="153"/>
      <c r="B20" s="154"/>
      <c r="C20" s="154"/>
      <c r="D20" s="154"/>
      <c r="E20" s="154"/>
      <c r="F20" s="154"/>
      <c r="G20" s="154"/>
      <c r="H20" s="60"/>
      <c r="I20" s="61"/>
      <c r="J20" s="61"/>
      <c r="K20" s="62"/>
      <c r="L20" s="180"/>
      <c r="M20" s="32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  <c r="BC20" s="135"/>
      <c r="BD20" s="135"/>
      <c r="BE20" s="135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</row>
    <row r="21" spans="1:69" s="67" customFormat="1" x14ac:dyDescent="0.3">
      <c r="A21" s="40" t="s">
        <v>11</v>
      </c>
      <c r="B21" s="41" t="s">
        <v>36</v>
      </c>
      <c r="C21" s="42"/>
      <c r="D21" s="42"/>
      <c r="E21" s="42"/>
      <c r="F21" s="42"/>
      <c r="G21" s="42"/>
      <c r="H21" s="142"/>
      <c r="I21" s="64"/>
      <c r="J21" s="64"/>
      <c r="K21" s="45"/>
      <c r="L21" s="181"/>
      <c r="M21" s="65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6"/>
      <c r="BF21" s="48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</row>
    <row r="22" spans="1:69" s="71" customFormat="1" outlineLevel="1" x14ac:dyDescent="0.3">
      <c r="A22" s="57">
        <v>1</v>
      </c>
      <c r="B22" s="50" t="s">
        <v>37</v>
      </c>
      <c r="C22" s="50"/>
      <c r="D22" s="51"/>
      <c r="E22" s="51"/>
      <c r="F22" s="51"/>
      <c r="G22" s="51"/>
      <c r="H22" s="53">
        <v>1.2708730126415718E-2</v>
      </c>
      <c r="I22" s="54">
        <f>I15</f>
        <v>45940</v>
      </c>
      <c r="J22" s="54">
        <f>P12</f>
        <v>45961</v>
      </c>
      <c r="K22" s="55">
        <f>J22-I22</f>
        <v>21</v>
      </c>
      <c r="L22" s="180"/>
      <c r="M22" s="56"/>
      <c r="N22" s="137">
        <f>$H$22/3</f>
        <v>4.236243375471906E-3</v>
      </c>
      <c r="O22" s="137">
        <f>$H$22/3</f>
        <v>4.236243375471906E-3</v>
      </c>
      <c r="P22" s="137">
        <f>$H$22/3</f>
        <v>4.236243375471906E-3</v>
      </c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5"/>
      <c r="AO22" s="135"/>
      <c r="AP22" s="135"/>
      <c r="AQ22" s="135"/>
      <c r="AR22" s="135"/>
      <c r="AS22" s="135"/>
      <c r="AT22" s="135"/>
      <c r="AU22" s="135"/>
      <c r="AV22" s="135"/>
      <c r="AW22" s="135"/>
      <c r="AX22" s="135"/>
      <c r="AY22" s="135"/>
      <c r="AZ22" s="135"/>
      <c r="BA22" s="135"/>
      <c r="BB22" s="135"/>
      <c r="BC22" s="135"/>
      <c r="BD22" s="135"/>
      <c r="BE22" s="135"/>
      <c r="BF22" s="1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</row>
    <row r="23" spans="1:69" s="71" customFormat="1" outlineLevel="1" x14ac:dyDescent="0.3">
      <c r="A23" s="57">
        <v>2</v>
      </c>
      <c r="B23" s="50" t="s">
        <v>38</v>
      </c>
      <c r="C23" s="72"/>
      <c r="D23" s="58"/>
      <c r="E23" s="58"/>
      <c r="F23" s="58"/>
      <c r="G23" s="58"/>
      <c r="H23" s="53">
        <v>5.9307407256606682E-3</v>
      </c>
      <c r="I23" s="54">
        <f>O12</f>
        <v>45954</v>
      </c>
      <c r="J23" s="54">
        <f>Q12</f>
        <v>45968</v>
      </c>
      <c r="K23" s="55">
        <f>J23-I23</f>
        <v>14</v>
      </c>
      <c r="L23" s="180"/>
      <c r="M23" s="56"/>
      <c r="N23" s="137"/>
      <c r="O23" s="137"/>
      <c r="P23" s="137">
        <f>H23/2</f>
        <v>2.9653703628303341E-3</v>
      </c>
      <c r="Q23" s="137">
        <f>H23/2</f>
        <v>2.9653703628303341E-3</v>
      </c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5"/>
      <c r="AO23" s="135"/>
      <c r="AP23" s="135"/>
      <c r="AQ23" s="135"/>
      <c r="AR23" s="135"/>
      <c r="AS23" s="135"/>
      <c r="AT23" s="135"/>
      <c r="AU23" s="135"/>
      <c r="AV23" s="135"/>
      <c r="AW23" s="135"/>
      <c r="AX23" s="135"/>
      <c r="AY23" s="135"/>
      <c r="AZ23" s="135"/>
      <c r="BA23" s="135"/>
      <c r="BB23" s="135"/>
      <c r="BC23" s="135"/>
      <c r="BD23" s="135"/>
      <c r="BE23" s="135"/>
      <c r="BF23" s="1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</row>
    <row r="24" spans="1:69" s="71" customFormat="1" outlineLevel="1" x14ac:dyDescent="0.3">
      <c r="A24" s="57">
        <v>3</v>
      </c>
      <c r="B24" s="72" t="s">
        <v>39</v>
      </c>
      <c r="C24" s="72"/>
      <c r="D24" s="58"/>
      <c r="E24" s="58"/>
      <c r="F24" s="58"/>
      <c r="G24" s="58"/>
      <c r="H24" s="53">
        <v>4.7223151325861114E-2</v>
      </c>
      <c r="I24" s="54">
        <f>I22</f>
        <v>45940</v>
      </c>
      <c r="J24" s="54">
        <f>Q12</f>
        <v>45968</v>
      </c>
      <c r="K24" s="55">
        <f>J24-I24</f>
        <v>28</v>
      </c>
      <c r="L24" s="180"/>
      <c r="M24" s="56"/>
      <c r="N24" s="137">
        <v>4.4999999999999997E-3</v>
      </c>
      <c r="O24" s="137">
        <v>4.4999999999999997E-3</v>
      </c>
      <c r="P24" s="137">
        <f>($H$24-0.9%)/2</f>
        <v>1.9111575662930556E-2</v>
      </c>
      <c r="Q24" s="137">
        <f>($H$24-0.9%)/2</f>
        <v>1.9111575662930556E-2</v>
      </c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5"/>
      <c r="AO24" s="135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/>
      <c r="BA24" s="135"/>
      <c r="BB24" s="135"/>
      <c r="BC24" s="135"/>
      <c r="BD24" s="135"/>
      <c r="BE24" s="135"/>
      <c r="BF24" s="1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</row>
    <row r="25" spans="1:69" s="71" customFormat="1" outlineLevel="1" x14ac:dyDescent="0.3">
      <c r="A25" s="57">
        <v>4</v>
      </c>
      <c r="B25" s="72" t="s">
        <v>40</v>
      </c>
      <c r="C25" s="72"/>
      <c r="D25" s="58"/>
      <c r="E25" s="58"/>
      <c r="F25" s="58"/>
      <c r="G25" s="58"/>
      <c r="H25" s="53">
        <v>2.0314922936303968E-2</v>
      </c>
      <c r="I25" s="54">
        <f>I22</f>
        <v>45940</v>
      </c>
      <c r="J25" s="54">
        <f>R12</f>
        <v>45975</v>
      </c>
      <c r="K25" s="55">
        <f>J25-I25</f>
        <v>35</v>
      </c>
      <c r="L25" s="180"/>
      <c r="M25" s="56"/>
      <c r="N25" s="137">
        <v>2E-3</v>
      </c>
      <c r="O25" s="137">
        <v>2E-3</v>
      </c>
      <c r="P25" s="137">
        <v>4.0000000000000001E-3</v>
      </c>
      <c r="Q25" s="137">
        <f>H25-R25-P25-O25-N25</f>
        <v>1.1714922936303968E-2</v>
      </c>
      <c r="R25" s="137">
        <v>5.9999999999999995E-4</v>
      </c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5"/>
      <c r="AO25" s="135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135"/>
      <c r="BD25" s="135"/>
      <c r="BE25" s="135"/>
      <c r="BF25" s="1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</row>
    <row r="26" spans="1:69" s="71" customFormat="1" outlineLevel="1" x14ac:dyDescent="0.3">
      <c r="A26" s="57">
        <v>5</v>
      </c>
      <c r="B26" s="73" t="s">
        <v>41</v>
      </c>
      <c r="C26" s="73"/>
      <c r="D26" s="74"/>
      <c r="E26" s="74"/>
      <c r="F26" s="74"/>
      <c r="G26" s="74"/>
      <c r="H26" s="53">
        <v>2.2077304179788221E-2</v>
      </c>
      <c r="I26" s="54">
        <f>I22</f>
        <v>45940</v>
      </c>
      <c r="J26" s="54">
        <f>Q12</f>
        <v>45968</v>
      </c>
      <c r="K26" s="55">
        <f>J26-I26</f>
        <v>28</v>
      </c>
      <c r="L26" s="180"/>
      <c r="M26" s="75"/>
      <c r="N26" s="137">
        <v>3.7000000000000002E-3</v>
      </c>
      <c r="O26" s="137">
        <v>3.7000000000000002E-3</v>
      </c>
      <c r="P26" s="137">
        <v>3.7000000000000002E-3</v>
      </c>
      <c r="Q26" s="137">
        <f>H26-P26-O26-N26</f>
        <v>1.0977304179788223E-2</v>
      </c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5"/>
      <c r="AO26" s="135"/>
      <c r="AP26" s="135"/>
      <c r="AQ26" s="135"/>
      <c r="AR26" s="135"/>
      <c r="AS26" s="135"/>
      <c r="AT26" s="135"/>
      <c r="AU26" s="135"/>
      <c r="AV26" s="135"/>
      <c r="AW26" s="135"/>
      <c r="AX26" s="135"/>
      <c r="AY26" s="135"/>
      <c r="AZ26" s="135"/>
      <c r="BA26" s="135"/>
      <c r="BB26" s="135"/>
      <c r="BC26" s="135"/>
      <c r="BD26" s="135"/>
      <c r="BE26" s="135"/>
      <c r="BF26" s="1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</row>
    <row r="27" spans="1:69" s="71" customFormat="1" ht="4.95" customHeight="1" outlineLevel="1" x14ac:dyDescent="0.3">
      <c r="A27" s="57"/>
      <c r="B27" s="50"/>
      <c r="C27" s="50"/>
      <c r="D27" s="58"/>
      <c r="E27" s="58"/>
      <c r="F27" s="58"/>
      <c r="G27" s="58"/>
      <c r="H27" s="53"/>
      <c r="I27" s="54"/>
      <c r="J27" s="54"/>
      <c r="K27" s="55"/>
      <c r="L27" s="180"/>
      <c r="M27" s="56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5"/>
      <c r="AO27" s="135"/>
      <c r="AP27" s="135"/>
      <c r="AQ27" s="135"/>
      <c r="AR27" s="135"/>
      <c r="AS27" s="135"/>
      <c r="AT27" s="135"/>
      <c r="AU27" s="135"/>
      <c r="AV27" s="135"/>
      <c r="AW27" s="135"/>
      <c r="AX27" s="135"/>
      <c r="AY27" s="135"/>
      <c r="AZ27" s="135"/>
      <c r="BA27" s="135"/>
      <c r="BB27" s="135"/>
      <c r="BC27" s="135"/>
      <c r="BD27" s="135"/>
      <c r="BE27" s="135"/>
      <c r="BF27" s="1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</row>
    <row r="28" spans="1:69" s="67" customFormat="1" ht="15" customHeight="1" outlineLevel="1" x14ac:dyDescent="0.3">
      <c r="A28" s="40" t="s">
        <v>15</v>
      </c>
      <c r="B28" s="41" t="s">
        <v>42</v>
      </c>
      <c r="C28" s="42"/>
      <c r="D28" s="42"/>
      <c r="E28" s="42"/>
      <c r="F28" s="42"/>
      <c r="G28" s="42"/>
      <c r="H28" s="142"/>
      <c r="I28" s="64"/>
      <c r="J28" s="64"/>
      <c r="K28" s="45"/>
      <c r="L28" s="181"/>
      <c r="M28" s="127"/>
      <c r="N28" s="138"/>
      <c r="O28" s="138"/>
      <c r="P28" s="138"/>
      <c r="Q28" s="138"/>
      <c r="R28" s="139"/>
      <c r="S28" s="139"/>
      <c r="T28" s="139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136"/>
      <c r="BD28" s="136"/>
      <c r="BE28" s="136"/>
      <c r="BF28" s="48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</row>
    <row r="29" spans="1:69" s="71" customFormat="1" outlineLevel="1" x14ac:dyDescent="0.3">
      <c r="A29" s="49" t="s">
        <v>12</v>
      </c>
      <c r="B29" s="128" t="s">
        <v>43</v>
      </c>
      <c r="C29" s="72"/>
      <c r="D29" s="58"/>
      <c r="E29" s="58"/>
      <c r="F29" s="58"/>
      <c r="G29" s="58"/>
      <c r="H29" s="53"/>
      <c r="I29" s="54"/>
      <c r="J29" s="54"/>
      <c r="K29" s="55"/>
      <c r="L29" s="180"/>
      <c r="M29" s="56"/>
      <c r="N29" s="137"/>
      <c r="O29" s="137"/>
      <c r="P29" s="137"/>
      <c r="Q29" s="137"/>
      <c r="R29" s="140"/>
      <c r="S29" s="140"/>
      <c r="T29" s="140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5"/>
      <c r="BD29" s="135"/>
      <c r="BE29" s="135"/>
      <c r="BF29" s="1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</row>
    <row r="30" spans="1:69" s="71" customFormat="1" outlineLevel="1" x14ac:dyDescent="0.3">
      <c r="A30" s="57">
        <v>1</v>
      </c>
      <c r="B30" s="72" t="s">
        <v>44</v>
      </c>
      <c r="C30" s="72"/>
      <c r="D30" s="58"/>
      <c r="E30" s="58"/>
      <c r="F30" s="58"/>
      <c r="G30" s="58"/>
      <c r="H30" s="53">
        <v>2.9703764260904875E-2</v>
      </c>
      <c r="I30" s="54">
        <f>O12</f>
        <v>45954</v>
      </c>
      <c r="J30" s="54">
        <f>U12</f>
        <v>45996</v>
      </c>
      <c r="K30" s="55">
        <f>J30-I30</f>
        <v>42</v>
      </c>
      <c r="L30" s="180"/>
      <c r="M30" s="56"/>
      <c r="N30" s="137"/>
      <c r="O30" s="137"/>
      <c r="P30" s="137">
        <f>0.21%</f>
        <v>2.0999999999999999E-3</v>
      </c>
      <c r="Q30" s="137">
        <f t="shared" ref="Q30:S30" si="12">0.21%</f>
        <v>2.0999999999999999E-3</v>
      </c>
      <c r="R30" s="137">
        <f t="shared" si="12"/>
        <v>2.0999999999999999E-3</v>
      </c>
      <c r="S30" s="137">
        <f t="shared" si="12"/>
        <v>2.0999999999999999E-3</v>
      </c>
      <c r="T30" s="137">
        <f>(H30-SUM(P30:S30))/2</f>
        <v>1.0651882130452438E-2</v>
      </c>
      <c r="U30" s="137">
        <f>T30</f>
        <v>1.0651882130452438E-2</v>
      </c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5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35"/>
      <c r="BC30" s="135"/>
      <c r="BD30" s="135"/>
      <c r="BE30" s="135"/>
      <c r="BF30" s="1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</row>
    <row r="31" spans="1:69" s="71" customFormat="1" outlineLevel="1" x14ac:dyDescent="0.3">
      <c r="A31" s="57">
        <v>2</v>
      </c>
      <c r="B31" s="73" t="s">
        <v>45</v>
      </c>
      <c r="C31" s="73"/>
      <c r="D31" s="74"/>
      <c r="E31" s="74"/>
      <c r="F31" s="74"/>
      <c r="G31" s="74"/>
      <c r="H31" s="53">
        <v>6.8084842570165824E-2</v>
      </c>
      <c r="I31" s="54">
        <f>I30</f>
        <v>45954</v>
      </c>
      <c r="J31" s="54">
        <f>W12</f>
        <v>46010</v>
      </c>
      <c r="K31" s="55">
        <f>J31-I31</f>
        <v>56</v>
      </c>
      <c r="L31" s="180"/>
      <c r="M31" s="75"/>
      <c r="N31" s="137"/>
      <c r="O31" s="137"/>
      <c r="P31" s="137">
        <v>3.8999999999999998E-3</v>
      </c>
      <c r="Q31" s="137">
        <v>3.8999999999999998E-3</v>
      </c>
      <c r="R31" s="137">
        <f>1.32%+0.39%</f>
        <v>1.7100000000000001E-2</v>
      </c>
      <c r="S31" s="137">
        <f>H31-SUM(P31:R31)</f>
        <v>4.3184842570165825E-2</v>
      </c>
      <c r="T31" s="140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5"/>
      <c r="AO31" s="135"/>
      <c r="AP31" s="135"/>
      <c r="AQ31" s="135"/>
      <c r="AR31" s="135"/>
      <c r="AS31" s="135"/>
      <c r="AT31" s="135"/>
      <c r="AU31" s="135"/>
      <c r="AV31" s="135"/>
      <c r="AW31" s="135"/>
      <c r="AX31" s="135"/>
      <c r="AY31" s="135"/>
      <c r="AZ31" s="135"/>
      <c r="BA31" s="135"/>
      <c r="BB31" s="135"/>
      <c r="BC31" s="135"/>
      <c r="BD31" s="135"/>
      <c r="BE31" s="135"/>
      <c r="BF31" s="1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</row>
    <row r="32" spans="1:69" s="71" customFormat="1" outlineLevel="1" x14ac:dyDescent="0.3">
      <c r="A32" s="57">
        <v>3</v>
      </c>
      <c r="B32" s="50" t="s">
        <v>47</v>
      </c>
      <c r="C32" s="50"/>
      <c r="D32" s="58"/>
      <c r="E32" s="58"/>
      <c r="F32" s="58"/>
      <c r="G32" s="58"/>
      <c r="H32" s="53"/>
      <c r="I32" s="54"/>
      <c r="J32" s="54"/>
      <c r="K32" s="55"/>
      <c r="L32" s="180"/>
      <c r="M32" s="56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5"/>
      <c r="AO32" s="135"/>
      <c r="AP32" s="135"/>
      <c r="AQ32" s="135"/>
      <c r="AR32" s="135"/>
      <c r="AS32" s="135"/>
      <c r="AT32" s="135"/>
      <c r="AU32" s="135"/>
      <c r="AV32" s="135"/>
      <c r="AW32" s="135"/>
      <c r="AX32" s="135"/>
      <c r="AY32" s="135"/>
      <c r="AZ32" s="135"/>
      <c r="BA32" s="135"/>
      <c r="BB32" s="135"/>
      <c r="BC32" s="135"/>
      <c r="BD32" s="135"/>
      <c r="BE32" s="135"/>
      <c r="BF32" s="1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</row>
    <row r="33" spans="1:69" s="71" customFormat="1" outlineLevel="1" x14ac:dyDescent="0.3">
      <c r="A33" s="57"/>
      <c r="B33" s="50">
        <v>3.1</v>
      </c>
      <c r="C33" s="50" t="s">
        <v>46</v>
      </c>
      <c r="D33" s="58"/>
      <c r="E33" s="58"/>
      <c r="F33" s="58"/>
      <c r="G33" s="58"/>
      <c r="H33" s="53">
        <v>1.6313246776144888E-2</v>
      </c>
      <c r="I33" s="54">
        <f>Q12</f>
        <v>45968</v>
      </c>
      <c r="J33" s="54">
        <f>S12</f>
        <v>45982</v>
      </c>
      <c r="K33" s="55">
        <f t="shared" ref="K33:K45" si="13">J33-I33</f>
        <v>14</v>
      </c>
      <c r="L33" s="180"/>
      <c r="M33" s="56"/>
      <c r="N33" s="137"/>
      <c r="O33" s="137"/>
      <c r="P33" s="137"/>
      <c r="Q33" s="137"/>
      <c r="R33" s="137">
        <v>4.5999999999999999E-3</v>
      </c>
      <c r="S33" s="137">
        <f>H33-R33</f>
        <v>1.1713246776144888E-2</v>
      </c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5"/>
      <c r="AO33" s="135"/>
      <c r="AP33" s="135"/>
      <c r="AQ33" s="135"/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5"/>
      <c r="BC33" s="135"/>
      <c r="BD33" s="135"/>
      <c r="BE33" s="135"/>
      <c r="BF33" s="1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</row>
    <row r="34" spans="1:69" s="71" customFormat="1" outlineLevel="1" x14ac:dyDescent="0.3">
      <c r="A34" s="57"/>
      <c r="B34" s="73">
        <v>3.2</v>
      </c>
      <c r="C34" s="73" t="s">
        <v>48</v>
      </c>
      <c r="D34" s="74"/>
      <c r="E34" s="74"/>
      <c r="F34" s="74"/>
      <c r="G34" s="74"/>
      <c r="H34" s="53">
        <v>2.7104992050292062E-3</v>
      </c>
      <c r="I34" s="54">
        <f>I33</f>
        <v>45968</v>
      </c>
      <c r="J34" s="54">
        <f>J33</f>
        <v>45982</v>
      </c>
      <c r="K34" s="55">
        <f t="shared" si="13"/>
        <v>14</v>
      </c>
      <c r="L34" s="180"/>
      <c r="M34" s="75"/>
      <c r="N34" s="137"/>
      <c r="O34" s="137"/>
      <c r="P34" s="137"/>
      <c r="Q34" s="137"/>
      <c r="R34" s="137">
        <v>5.9999999999999995E-4</v>
      </c>
      <c r="S34" s="137">
        <f>H34-R34</f>
        <v>2.1104992050292063E-3</v>
      </c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5"/>
      <c r="AO34" s="135"/>
      <c r="AP34" s="135"/>
      <c r="AQ34" s="135"/>
      <c r="AR34" s="135"/>
      <c r="AS34" s="135"/>
      <c r="AT34" s="135"/>
      <c r="AU34" s="135"/>
      <c r="AV34" s="135"/>
      <c r="AW34" s="135"/>
      <c r="AX34" s="135"/>
      <c r="AY34" s="135"/>
      <c r="AZ34" s="135"/>
      <c r="BA34" s="135"/>
      <c r="BB34" s="135"/>
      <c r="BC34" s="135"/>
      <c r="BD34" s="135"/>
      <c r="BE34" s="135"/>
      <c r="BF34" s="1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</row>
    <row r="35" spans="1:69" s="71" customFormat="1" outlineLevel="1" x14ac:dyDescent="0.3">
      <c r="A35" s="57"/>
      <c r="B35" s="50">
        <v>3.3</v>
      </c>
      <c r="C35" s="50" t="s">
        <v>49</v>
      </c>
      <c r="D35" s="58"/>
      <c r="E35" s="58"/>
      <c r="F35" s="58"/>
      <c r="G35" s="58"/>
      <c r="H35" s="53">
        <v>2.963647818627453E-3</v>
      </c>
      <c r="I35" s="54">
        <f>R12</f>
        <v>45975</v>
      </c>
      <c r="J35" s="54">
        <f>U12</f>
        <v>45996</v>
      </c>
      <c r="K35" s="55">
        <f t="shared" si="13"/>
        <v>21</v>
      </c>
      <c r="L35" s="180"/>
      <c r="M35" s="56"/>
      <c r="N35" s="137"/>
      <c r="O35" s="137"/>
      <c r="P35" s="137"/>
      <c r="Q35" s="137"/>
      <c r="R35" s="137"/>
      <c r="S35" s="137">
        <f>$H$35/3</f>
        <v>9.8788260620915106E-4</v>
      </c>
      <c r="T35" s="137">
        <f t="shared" ref="T35:U35" si="14">$H$35/3</f>
        <v>9.8788260620915106E-4</v>
      </c>
      <c r="U35" s="137">
        <f t="shared" si="14"/>
        <v>9.8788260620915106E-4</v>
      </c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5"/>
      <c r="AO35" s="135"/>
      <c r="AP35" s="135"/>
      <c r="AQ35" s="135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35"/>
      <c r="BC35" s="135"/>
      <c r="BD35" s="135"/>
      <c r="BE35" s="135"/>
      <c r="BF35" s="1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</row>
    <row r="36" spans="1:69" s="71" customFormat="1" outlineLevel="1" x14ac:dyDescent="0.3">
      <c r="A36" s="49" t="s">
        <v>13</v>
      </c>
      <c r="B36" s="128" t="s">
        <v>50</v>
      </c>
      <c r="C36" s="73"/>
      <c r="D36" s="74"/>
      <c r="E36" s="74"/>
      <c r="F36" s="74"/>
      <c r="G36" s="74"/>
      <c r="H36" s="53"/>
      <c r="I36" s="54"/>
      <c r="J36" s="54"/>
      <c r="K36" s="55"/>
      <c r="L36" s="180"/>
      <c r="M36" s="75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5"/>
      <c r="BC36" s="135"/>
      <c r="BD36" s="135"/>
      <c r="BE36" s="135"/>
      <c r="BF36" s="1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</row>
    <row r="37" spans="1:69" s="71" customFormat="1" outlineLevel="1" x14ac:dyDescent="0.3">
      <c r="A37" s="57">
        <v>1</v>
      </c>
      <c r="B37" s="50" t="s">
        <v>51</v>
      </c>
      <c r="C37" s="50"/>
      <c r="D37" s="58"/>
      <c r="E37" s="58"/>
      <c r="F37" s="58"/>
      <c r="G37" s="58"/>
      <c r="H37" s="53">
        <v>6.8084842570165824E-2</v>
      </c>
      <c r="I37" s="54">
        <f>W12</f>
        <v>46010</v>
      </c>
      <c r="J37" s="54">
        <f>AB12</f>
        <v>46045</v>
      </c>
      <c r="K37" s="55">
        <f t="shared" si="13"/>
        <v>35</v>
      </c>
      <c r="L37" s="180"/>
      <c r="M37" s="56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>
        <v>5.3E-3</v>
      </c>
      <c r="Y37" s="137">
        <v>5.3E-3</v>
      </c>
      <c r="Z37" s="137">
        <f>(H37-SUM(X37:Y37))/3</f>
        <v>1.9161614190055274E-2</v>
      </c>
      <c r="AA37" s="137">
        <f>Z37</f>
        <v>1.9161614190055274E-2</v>
      </c>
      <c r="AB37" s="137">
        <f>AA37</f>
        <v>1.9161614190055274E-2</v>
      </c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5"/>
      <c r="BC37" s="135"/>
      <c r="BD37" s="135"/>
      <c r="BE37" s="135"/>
      <c r="BF37" s="1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</row>
    <row r="38" spans="1:69" s="71" customFormat="1" outlineLevel="1" x14ac:dyDescent="0.3">
      <c r="A38" s="57">
        <v>2</v>
      </c>
      <c r="B38" s="50" t="s">
        <v>47</v>
      </c>
      <c r="C38" s="72"/>
      <c r="D38" s="58"/>
      <c r="E38" s="58"/>
      <c r="F38" s="58"/>
      <c r="G38" s="58"/>
      <c r="H38" s="53"/>
      <c r="I38" s="54"/>
      <c r="J38" s="54"/>
      <c r="K38" s="55"/>
      <c r="L38" s="180"/>
      <c r="M38" s="56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5"/>
      <c r="BC38" s="135"/>
      <c r="BD38" s="135"/>
      <c r="BE38" s="135"/>
      <c r="BF38" s="1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</row>
    <row r="39" spans="1:69" s="71" customFormat="1" outlineLevel="1" x14ac:dyDescent="0.3">
      <c r="A39" s="57"/>
      <c r="B39" s="72">
        <v>2.1</v>
      </c>
      <c r="C39" s="72" t="s">
        <v>46</v>
      </c>
      <c r="D39" s="58"/>
      <c r="E39" s="58"/>
      <c r="F39" s="58"/>
      <c r="G39" s="58"/>
      <c r="H39" s="53">
        <v>2.3537568609775877E-2</v>
      </c>
      <c r="I39" s="54">
        <f>V12</f>
        <v>46003</v>
      </c>
      <c r="J39" s="54">
        <f>Z12</f>
        <v>46031</v>
      </c>
      <c r="K39" s="55">
        <f t="shared" si="13"/>
        <v>28</v>
      </c>
      <c r="L39" s="180"/>
      <c r="M39" s="56"/>
      <c r="N39" s="137"/>
      <c r="O39" s="137"/>
      <c r="P39" s="137"/>
      <c r="Q39" s="137"/>
      <c r="R39" s="137"/>
      <c r="S39" s="137"/>
      <c r="T39" s="137"/>
      <c r="U39" s="137"/>
      <c r="V39" s="137"/>
      <c r="W39" s="137">
        <v>3.2000000000000002E-3</v>
      </c>
      <c r="X39" s="137">
        <v>3.2000000000000002E-3</v>
      </c>
      <c r="Y39" s="137">
        <v>3.2000000000000002E-3</v>
      </c>
      <c r="Z39" s="137">
        <f>H39-SUM(W39:Y39)</f>
        <v>1.3937568609775876E-2</v>
      </c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5"/>
      <c r="BC39" s="135"/>
      <c r="BD39" s="135"/>
      <c r="BE39" s="135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</row>
    <row r="40" spans="1:69" s="71" customFormat="1" outlineLevel="1" x14ac:dyDescent="0.3">
      <c r="A40" s="76"/>
      <c r="B40" s="73">
        <v>2.2000000000000002</v>
      </c>
      <c r="C40" s="73" t="s">
        <v>48</v>
      </c>
      <c r="D40" s="74"/>
      <c r="E40" s="74"/>
      <c r="F40" s="74"/>
      <c r="G40" s="74"/>
      <c r="H40" s="53">
        <v>8.1314976150876194E-3</v>
      </c>
      <c r="I40" s="54">
        <f>I39</f>
        <v>46003</v>
      </c>
      <c r="J40" s="54">
        <f>J39</f>
        <v>46031</v>
      </c>
      <c r="K40" s="55">
        <f t="shared" si="13"/>
        <v>28</v>
      </c>
      <c r="L40" s="180"/>
      <c r="M40" s="75"/>
      <c r="N40" s="137"/>
      <c r="O40" s="137"/>
      <c r="P40" s="137"/>
      <c r="Q40" s="137"/>
      <c r="R40" s="137"/>
      <c r="S40" s="137"/>
      <c r="T40" s="137"/>
      <c r="U40" s="137"/>
      <c r="V40" s="137"/>
      <c r="W40" s="137">
        <v>8.9999999999999998E-4</v>
      </c>
      <c r="X40" s="137">
        <v>8.9999999999999998E-4</v>
      </c>
      <c r="Y40" s="137">
        <v>8.9999999999999998E-4</v>
      </c>
      <c r="Z40" s="137">
        <f>H40-SUM(W40:Y40)</f>
        <v>5.4314976150876193E-3</v>
      </c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5"/>
      <c r="BC40" s="135"/>
      <c r="BD40" s="135"/>
      <c r="BE40" s="135"/>
      <c r="BF40" s="70"/>
      <c r="BG40" s="70"/>
      <c r="BH40" s="70"/>
      <c r="BI40" s="70"/>
      <c r="BJ40" s="70"/>
      <c r="BK40" s="70"/>
      <c r="BL40" s="70"/>
      <c r="BM40" s="70"/>
      <c r="BN40" s="70"/>
      <c r="BO40" s="70"/>
      <c r="BP40" s="70"/>
      <c r="BQ40" s="70"/>
    </row>
    <row r="41" spans="1:69" s="71" customFormat="1" outlineLevel="1" x14ac:dyDescent="0.3">
      <c r="A41" s="57"/>
      <c r="B41" s="72">
        <v>2.2999999999999998</v>
      </c>
      <c r="C41" s="72" t="s">
        <v>49</v>
      </c>
      <c r="D41" s="58"/>
      <c r="E41" s="58"/>
      <c r="F41" s="58"/>
      <c r="G41" s="58"/>
      <c r="H41" s="53">
        <v>4.5937410251619378E-3</v>
      </c>
      <c r="I41" s="54">
        <f>Z12</f>
        <v>46031</v>
      </c>
      <c r="J41" s="54">
        <f>AD12</f>
        <v>46059</v>
      </c>
      <c r="K41" s="55">
        <f t="shared" si="13"/>
        <v>28</v>
      </c>
      <c r="L41" s="180"/>
      <c r="M41" s="56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>
        <f>$H$41/4</f>
        <v>1.1484352562904844E-3</v>
      </c>
      <c r="AB41" s="137">
        <f t="shared" ref="AB41:AD41" si="15">$H$41/4</f>
        <v>1.1484352562904844E-3</v>
      </c>
      <c r="AC41" s="137">
        <f t="shared" si="15"/>
        <v>1.1484352562904844E-3</v>
      </c>
      <c r="AD41" s="137">
        <f t="shared" si="15"/>
        <v>1.1484352562904844E-3</v>
      </c>
      <c r="AE41" s="137"/>
      <c r="AF41" s="137"/>
      <c r="AG41" s="137"/>
      <c r="AH41" s="137"/>
      <c r="AI41" s="137"/>
      <c r="AJ41" s="137"/>
      <c r="AK41" s="137"/>
      <c r="AL41" s="137"/>
      <c r="AM41" s="137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5"/>
      <c r="BC41" s="135"/>
      <c r="BD41" s="135"/>
      <c r="BE41" s="135"/>
      <c r="BF41" s="70"/>
      <c r="BG41" s="70"/>
      <c r="BH41" s="70"/>
      <c r="BI41" s="70"/>
      <c r="BJ41" s="70"/>
      <c r="BK41" s="70"/>
      <c r="BL41" s="70"/>
      <c r="BM41" s="70"/>
      <c r="BN41" s="70"/>
      <c r="BO41" s="70"/>
      <c r="BP41" s="70"/>
      <c r="BQ41" s="70"/>
    </row>
    <row r="42" spans="1:69" s="71" customFormat="1" outlineLevel="1" x14ac:dyDescent="0.3">
      <c r="A42" s="57">
        <v>3</v>
      </c>
      <c r="B42" s="50" t="s">
        <v>52</v>
      </c>
      <c r="C42" s="72"/>
      <c r="D42" s="58"/>
      <c r="E42" s="58"/>
      <c r="F42" s="58"/>
      <c r="G42" s="58"/>
      <c r="H42" s="53">
        <v>6.8084842570165824E-2</v>
      </c>
      <c r="I42" s="54">
        <f>U12</f>
        <v>45996</v>
      </c>
      <c r="J42" s="54">
        <f>J40</f>
        <v>46031</v>
      </c>
      <c r="K42" s="55">
        <f t="shared" si="13"/>
        <v>35</v>
      </c>
      <c r="L42" s="180"/>
      <c r="M42" s="56"/>
      <c r="N42" s="137"/>
      <c r="O42" s="137"/>
      <c r="P42" s="137"/>
      <c r="Q42" s="137"/>
      <c r="R42" s="137"/>
      <c r="S42" s="137"/>
      <c r="T42" s="137"/>
      <c r="U42" s="137"/>
      <c r="V42" s="137">
        <v>3.0999999999999999E-3</v>
      </c>
      <c r="W42" s="137">
        <v>3.0999999999999999E-3</v>
      </c>
      <c r="X42" s="137">
        <v>3.0999999999999999E-3</v>
      </c>
      <c r="Y42" s="137">
        <f>(H42-SUM(V42:X42))/2</f>
        <v>2.9392421285082911E-2</v>
      </c>
      <c r="Z42" s="137">
        <f>Y42</f>
        <v>2.9392421285082911E-2</v>
      </c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5"/>
      <c r="BC42" s="135"/>
      <c r="BD42" s="135"/>
      <c r="BE42" s="135"/>
      <c r="BF42" s="70"/>
      <c r="BG42" s="70"/>
      <c r="BH42" s="70"/>
      <c r="BI42" s="70"/>
      <c r="BJ42" s="70"/>
      <c r="BK42" s="70"/>
      <c r="BL42" s="70"/>
      <c r="BM42" s="70"/>
      <c r="BN42" s="70"/>
      <c r="BO42" s="70"/>
      <c r="BP42" s="70"/>
      <c r="BQ42" s="70"/>
    </row>
    <row r="43" spans="1:69" s="71" customFormat="1" outlineLevel="1" x14ac:dyDescent="0.3">
      <c r="A43" s="49" t="s">
        <v>14</v>
      </c>
      <c r="B43" s="128" t="s">
        <v>53</v>
      </c>
      <c r="C43" s="72"/>
      <c r="D43" s="58"/>
      <c r="E43" s="58"/>
      <c r="F43" s="58"/>
      <c r="G43" s="58"/>
      <c r="H43" s="53"/>
      <c r="I43" s="54"/>
      <c r="J43" s="54"/>
      <c r="K43" s="55"/>
      <c r="L43" s="180"/>
      <c r="M43" s="56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5"/>
      <c r="BC43" s="135"/>
      <c r="BD43" s="135"/>
      <c r="BE43" s="135"/>
      <c r="BF43" s="70"/>
      <c r="BG43" s="70"/>
      <c r="BH43" s="70"/>
      <c r="BI43" s="70"/>
      <c r="BJ43" s="70"/>
      <c r="BK43" s="70"/>
      <c r="BL43" s="70"/>
      <c r="BM43" s="70"/>
      <c r="BN43" s="70"/>
      <c r="BO43" s="70"/>
      <c r="BP43" s="70"/>
      <c r="BQ43" s="70"/>
    </row>
    <row r="44" spans="1:69" s="71" customFormat="1" outlineLevel="1" x14ac:dyDescent="0.3">
      <c r="A44" s="57">
        <v>1</v>
      </c>
      <c r="B44" s="77" t="s">
        <v>54</v>
      </c>
      <c r="C44" s="72"/>
      <c r="D44" s="58"/>
      <c r="E44" s="58"/>
      <c r="F44" s="58"/>
      <c r="G44" s="58"/>
      <c r="H44" s="53">
        <v>5.7343054386456999E-3</v>
      </c>
      <c r="I44" s="54">
        <f>AB12</f>
        <v>46045</v>
      </c>
      <c r="J44" s="54">
        <f>AE12</f>
        <v>46066</v>
      </c>
      <c r="K44" s="55">
        <f t="shared" si="13"/>
        <v>21</v>
      </c>
      <c r="L44" s="180"/>
      <c r="M44" s="56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>
        <v>1.5E-3</v>
      </c>
      <c r="AD44" s="137">
        <v>1.5E-3</v>
      </c>
      <c r="AE44" s="137">
        <f>H44-AC44-AD44</f>
        <v>2.7343054386457003E-3</v>
      </c>
      <c r="AF44" s="137"/>
      <c r="AG44" s="137"/>
      <c r="AH44" s="137"/>
      <c r="AI44" s="137"/>
      <c r="AJ44" s="137"/>
      <c r="AK44" s="137"/>
      <c r="AL44" s="137"/>
      <c r="AM44" s="137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5"/>
      <c r="BC44" s="135"/>
      <c r="BD44" s="135"/>
      <c r="BE44" s="135"/>
      <c r="BF44" s="70"/>
      <c r="BG44" s="70"/>
      <c r="BH44" s="70"/>
      <c r="BI44" s="70"/>
      <c r="BJ44" s="70"/>
      <c r="BK44" s="70"/>
      <c r="BL44" s="70"/>
      <c r="BM44" s="70"/>
      <c r="BN44" s="70"/>
      <c r="BO44" s="70"/>
      <c r="BP44" s="70"/>
      <c r="BQ44" s="70"/>
    </row>
    <row r="45" spans="1:69" s="71" customFormat="1" outlineLevel="1" x14ac:dyDescent="0.3">
      <c r="A45" s="57">
        <v>2</v>
      </c>
      <c r="B45" s="77" t="s">
        <v>55</v>
      </c>
      <c r="C45" s="72"/>
      <c r="D45" s="58"/>
      <c r="E45" s="58"/>
      <c r="F45" s="58"/>
      <c r="G45" s="58"/>
      <c r="H45" s="53">
        <v>1.4517347568726887E-2</v>
      </c>
      <c r="I45" s="54">
        <f>AA12</f>
        <v>46038</v>
      </c>
      <c r="J45" s="54">
        <f>AD12</f>
        <v>46059</v>
      </c>
      <c r="K45" s="55">
        <f t="shared" si="13"/>
        <v>21</v>
      </c>
      <c r="L45" s="180"/>
      <c r="M45" s="56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>
        <v>4.0000000000000001E-3</v>
      </c>
      <c r="AC45" s="137">
        <v>4.0000000000000001E-3</v>
      </c>
      <c r="AD45" s="137">
        <f>H45-AB45-AC45</f>
        <v>6.5173475687268865E-3</v>
      </c>
      <c r="AE45" s="137"/>
      <c r="AF45" s="137"/>
      <c r="AG45" s="137"/>
      <c r="AH45" s="137"/>
      <c r="AI45" s="137"/>
      <c r="AJ45" s="137"/>
      <c r="AK45" s="137"/>
      <c r="AL45" s="137"/>
      <c r="AM45" s="137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5"/>
      <c r="BC45" s="135"/>
      <c r="BD45" s="135"/>
      <c r="BE45" s="135"/>
      <c r="BF45" s="70"/>
      <c r="BG45" s="70"/>
      <c r="BH45" s="70"/>
      <c r="BI45" s="70"/>
      <c r="BJ45" s="70"/>
      <c r="BK45" s="70"/>
      <c r="BL45" s="70"/>
      <c r="BM45" s="70"/>
      <c r="BN45" s="70"/>
      <c r="BO45" s="70"/>
      <c r="BP45" s="70"/>
      <c r="BQ45" s="70"/>
    </row>
    <row r="46" spans="1:69" s="71" customFormat="1" ht="4.95" customHeight="1" outlineLevel="1" x14ac:dyDescent="0.3">
      <c r="A46" s="57"/>
      <c r="B46" s="78"/>
      <c r="C46" s="72"/>
      <c r="D46" s="58"/>
      <c r="E46" s="58"/>
      <c r="F46" s="58"/>
      <c r="G46" s="58"/>
      <c r="H46" s="53"/>
      <c r="I46" s="54"/>
      <c r="J46" s="54"/>
      <c r="K46" s="55"/>
      <c r="L46" s="180"/>
      <c r="M46" s="56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5"/>
      <c r="BC46" s="135"/>
      <c r="BD46" s="135"/>
      <c r="BE46" s="135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</row>
    <row r="47" spans="1:69" s="67" customFormat="1" ht="15" customHeight="1" outlineLevel="1" x14ac:dyDescent="0.3">
      <c r="A47" s="40" t="s">
        <v>56</v>
      </c>
      <c r="B47" s="41" t="s">
        <v>57</v>
      </c>
      <c r="C47" s="42"/>
      <c r="D47" s="42"/>
      <c r="E47" s="42"/>
      <c r="F47" s="42"/>
      <c r="G47" s="42"/>
      <c r="H47" s="142"/>
      <c r="I47" s="64"/>
      <c r="J47" s="64"/>
      <c r="K47" s="45"/>
      <c r="L47" s="181"/>
      <c r="M47" s="127"/>
      <c r="N47" s="138"/>
      <c r="O47" s="138"/>
      <c r="P47" s="138"/>
      <c r="Q47" s="138"/>
      <c r="R47" s="139"/>
      <c r="S47" s="139"/>
      <c r="T47" s="139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</row>
    <row r="48" spans="1:69" s="71" customFormat="1" outlineLevel="1" x14ac:dyDescent="0.3">
      <c r="A48" s="49" t="s">
        <v>12</v>
      </c>
      <c r="B48" s="128" t="s">
        <v>43</v>
      </c>
      <c r="C48" s="72"/>
      <c r="D48" s="58"/>
      <c r="E48" s="58"/>
      <c r="F48" s="58"/>
      <c r="G48" s="58"/>
      <c r="H48" s="53"/>
      <c r="I48" s="54"/>
      <c r="J48" s="54"/>
      <c r="K48" s="55"/>
      <c r="L48" s="180"/>
      <c r="M48" s="56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5"/>
      <c r="BC48" s="135"/>
      <c r="BD48" s="135"/>
      <c r="BE48" s="135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</row>
    <row r="49" spans="1:69" s="71" customFormat="1" outlineLevel="1" x14ac:dyDescent="0.3">
      <c r="A49" s="57">
        <v>1</v>
      </c>
      <c r="B49" s="72" t="s">
        <v>58</v>
      </c>
      <c r="C49" s="72"/>
      <c r="D49" s="58"/>
      <c r="E49" s="58"/>
      <c r="F49" s="58"/>
      <c r="G49" s="58"/>
      <c r="H49" s="53">
        <v>6.1819937810334846E-3</v>
      </c>
      <c r="I49" s="54">
        <f>R12</f>
        <v>45975</v>
      </c>
      <c r="J49" s="54">
        <f>U12</f>
        <v>45996</v>
      </c>
      <c r="K49" s="55">
        <f t="shared" ref="K49:K56" si="16">J49-I49</f>
        <v>21</v>
      </c>
      <c r="L49" s="180"/>
      <c r="M49" s="56"/>
      <c r="N49" s="137"/>
      <c r="O49" s="137"/>
      <c r="P49" s="137"/>
      <c r="Q49" s="137"/>
      <c r="R49" s="137"/>
      <c r="S49" s="137">
        <f>$H$49/3</f>
        <v>2.0606645936778281E-3</v>
      </c>
      <c r="T49" s="137">
        <f t="shared" ref="T49:U49" si="17">$H$49/3</f>
        <v>2.0606645936778281E-3</v>
      </c>
      <c r="U49" s="137">
        <f t="shared" si="17"/>
        <v>2.0606645936778281E-3</v>
      </c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5"/>
      <c r="BC49" s="135"/>
      <c r="BD49" s="135"/>
      <c r="BE49" s="135"/>
      <c r="BF49" s="70"/>
      <c r="BG49" s="70"/>
      <c r="BH49" s="70"/>
      <c r="BI49" s="70"/>
      <c r="BJ49" s="70"/>
      <c r="BK49" s="70"/>
      <c r="BL49" s="70"/>
      <c r="BM49" s="70"/>
      <c r="BN49" s="70"/>
      <c r="BO49" s="70"/>
      <c r="BP49" s="70"/>
      <c r="BQ49" s="70"/>
    </row>
    <row r="50" spans="1:69" s="71" customFormat="1" outlineLevel="1" x14ac:dyDescent="0.3">
      <c r="A50" s="57">
        <v>2</v>
      </c>
      <c r="B50" s="79" t="s">
        <v>59</v>
      </c>
      <c r="C50" s="73"/>
      <c r="D50" s="74"/>
      <c r="E50" s="74"/>
      <c r="F50" s="74"/>
      <c r="G50" s="74"/>
      <c r="H50" s="53">
        <v>2.096233456446963E-2</v>
      </c>
      <c r="I50" s="54">
        <f>AH12</f>
        <v>46087</v>
      </c>
      <c r="J50" s="54">
        <f>AI12</f>
        <v>46094</v>
      </c>
      <c r="K50" s="55">
        <f t="shared" si="16"/>
        <v>7</v>
      </c>
      <c r="L50" s="180"/>
      <c r="M50" s="75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>
        <f>H50</f>
        <v>2.096233456446963E-2</v>
      </c>
      <c r="AJ50" s="137"/>
      <c r="AK50" s="137"/>
      <c r="AL50" s="137"/>
      <c r="AM50" s="137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5"/>
      <c r="BC50" s="135"/>
      <c r="BD50" s="135"/>
      <c r="BE50" s="135"/>
      <c r="BF50" s="70"/>
      <c r="BG50" s="70"/>
      <c r="BH50" s="70"/>
      <c r="BI50" s="70"/>
      <c r="BJ50" s="70"/>
      <c r="BK50" s="70"/>
      <c r="BL50" s="70"/>
      <c r="BM50" s="70"/>
      <c r="BN50" s="70"/>
      <c r="BO50" s="70"/>
      <c r="BP50" s="70"/>
      <c r="BQ50" s="70"/>
    </row>
    <row r="51" spans="1:69" s="71" customFormat="1" outlineLevel="1" x14ac:dyDescent="0.3">
      <c r="A51" s="49" t="s">
        <v>13</v>
      </c>
      <c r="B51" s="128" t="s">
        <v>50</v>
      </c>
      <c r="C51" s="72"/>
      <c r="D51" s="58"/>
      <c r="E51" s="58"/>
      <c r="F51" s="58"/>
      <c r="G51" s="58"/>
      <c r="H51" s="53"/>
      <c r="I51" s="54"/>
      <c r="J51" s="54"/>
      <c r="K51" s="55"/>
      <c r="L51" s="180"/>
      <c r="M51" s="56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5"/>
      <c r="BC51" s="135"/>
      <c r="BD51" s="135"/>
      <c r="BE51" s="135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</row>
    <row r="52" spans="1:69" s="71" customFormat="1" outlineLevel="1" x14ac:dyDescent="0.3">
      <c r="A52" s="57">
        <v>1</v>
      </c>
      <c r="B52" s="50" t="s">
        <v>58</v>
      </c>
      <c r="C52" s="72"/>
      <c r="D52" s="58"/>
      <c r="E52" s="58"/>
      <c r="F52" s="58"/>
      <c r="G52" s="58"/>
      <c r="H52" s="53">
        <v>1.4809906840649785E-2</v>
      </c>
      <c r="I52" s="54">
        <f>Y12</f>
        <v>46024</v>
      </c>
      <c r="J52" s="54">
        <f>AB12</f>
        <v>46045</v>
      </c>
      <c r="K52" s="55">
        <f t="shared" si="16"/>
        <v>21</v>
      </c>
      <c r="L52" s="180"/>
      <c r="M52" s="68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>
        <f>$H$52/4</f>
        <v>3.7024767101624463E-3</v>
      </c>
      <c r="AA52" s="137">
        <f t="shared" ref="AA52:AC52" si="18">$H$52/4</f>
        <v>3.7024767101624463E-3</v>
      </c>
      <c r="AB52" s="137">
        <f t="shared" si="18"/>
        <v>3.7024767101624463E-3</v>
      </c>
      <c r="AC52" s="137">
        <f t="shared" si="18"/>
        <v>3.7024767101624463E-3</v>
      </c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5"/>
      <c r="BC52" s="135"/>
      <c r="BD52" s="135"/>
      <c r="BE52" s="135"/>
      <c r="BF52" s="70"/>
      <c r="BG52" s="70"/>
      <c r="BH52" s="70"/>
      <c r="BI52" s="70"/>
      <c r="BJ52" s="70"/>
      <c r="BK52" s="70"/>
      <c r="BL52" s="70"/>
      <c r="BM52" s="70"/>
      <c r="BN52" s="70"/>
      <c r="BO52" s="70"/>
      <c r="BP52" s="70"/>
      <c r="BQ52" s="70"/>
    </row>
    <row r="53" spans="1:69" s="71" customFormat="1" outlineLevel="1" x14ac:dyDescent="0.3">
      <c r="A53" s="57">
        <v>2</v>
      </c>
      <c r="B53" s="50" t="s">
        <v>149</v>
      </c>
      <c r="C53" s="72"/>
      <c r="D53" s="58"/>
      <c r="E53" s="58"/>
      <c r="F53" s="58"/>
      <c r="G53" s="58"/>
      <c r="H53" s="53">
        <v>5.7183442474559735E-3</v>
      </c>
      <c r="I53" s="54">
        <f>I52</f>
        <v>46024</v>
      </c>
      <c r="J53" s="54">
        <f>J52</f>
        <v>46045</v>
      </c>
      <c r="K53" s="55">
        <f t="shared" si="16"/>
        <v>21</v>
      </c>
      <c r="L53" s="180"/>
      <c r="M53" s="68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>
        <f>$H$53/4</f>
        <v>1.4295860618639934E-3</v>
      </c>
      <c r="AA53" s="137">
        <f t="shared" ref="AA53:AC53" si="19">$H$53/4</f>
        <v>1.4295860618639934E-3</v>
      </c>
      <c r="AB53" s="137">
        <f t="shared" si="19"/>
        <v>1.4295860618639934E-3</v>
      </c>
      <c r="AC53" s="137">
        <f t="shared" si="19"/>
        <v>1.4295860618639934E-3</v>
      </c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5"/>
      <c r="BC53" s="135"/>
      <c r="BD53" s="135"/>
      <c r="BE53" s="135"/>
      <c r="BF53" s="70"/>
      <c r="BG53" s="70"/>
      <c r="BH53" s="70"/>
      <c r="BI53" s="70"/>
      <c r="BJ53" s="70"/>
      <c r="BK53" s="70"/>
      <c r="BL53" s="70"/>
      <c r="BM53" s="70"/>
      <c r="BN53" s="70"/>
      <c r="BO53" s="70"/>
      <c r="BP53" s="70"/>
      <c r="BQ53" s="70"/>
    </row>
    <row r="54" spans="1:69" outlineLevel="1" x14ac:dyDescent="0.3">
      <c r="A54" s="49" t="s">
        <v>14</v>
      </c>
      <c r="B54" s="128" t="s">
        <v>53</v>
      </c>
      <c r="C54" s="72"/>
      <c r="D54" s="58"/>
      <c r="E54" s="58"/>
      <c r="F54" s="58"/>
      <c r="G54" s="58"/>
      <c r="H54" s="53"/>
      <c r="I54" s="54"/>
      <c r="J54" s="54"/>
      <c r="K54" s="55"/>
      <c r="L54" s="180"/>
      <c r="M54" s="56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5"/>
      <c r="BC54" s="135"/>
      <c r="BD54" s="135"/>
      <c r="BE54" s="135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</row>
    <row r="55" spans="1:69" outlineLevel="1" x14ac:dyDescent="0.3">
      <c r="A55" s="57">
        <v>1</v>
      </c>
      <c r="B55" s="77" t="s">
        <v>58</v>
      </c>
      <c r="C55" s="72"/>
      <c r="D55" s="58"/>
      <c r="E55" s="58"/>
      <c r="F55" s="58"/>
      <c r="G55" s="58"/>
      <c r="H55" s="53">
        <v>1.544826489412607E-2</v>
      </c>
      <c r="I55" s="54">
        <f>AB12</f>
        <v>46045</v>
      </c>
      <c r="J55" s="54">
        <f>AE12</f>
        <v>46066</v>
      </c>
      <c r="K55" s="55">
        <f t="shared" si="16"/>
        <v>21</v>
      </c>
      <c r="L55" s="180"/>
      <c r="M55" s="56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>
        <f>$H$55/3</f>
        <v>5.1494216313753569E-3</v>
      </c>
      <c r="AD55" s="137">
        <f>$H$55/3</f>
        <v>5.1494216313753569E-3</v>
      </c>
      <c r="AE55" s="137">
        <f>$H$55/3</f>
        <v>5.1494216313753569E-3</v>
      </c>
      <c r="AF55" s="137"/>
      <c r="AG55" s="137"/>
      <c r="AH55" s="137"/>
      <c r="AI55" s="137"/>
      <c r="AJ55" s="137"/>
      <c r="AK55" s="137"/>
      <c r="AL55" s="137"/>
      <c r="AM55" s="137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5"/>
      <c r="BC55" s="135"/>
      <c r="BD55" s="135"/>
      <c r="BE55" s="135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</row>
    <row r="56" spans="1:69" outlineLevel="1" x14ac:dyDescent="0.3">
      <c r="A56" s="57">
        <v>2</v>
      </c>
      <c r="B56" s="72" t="s">
        <v>60</v>
      </c>
      <c r="C56" s="72"/>
      <c r="D56" s="58"/>
      <c r="E56" s="58"/>
      <c r="F56" s="58"/>
      <c r="G56" s="58"/>
      <c r="H56" s="53">
        <v>2.5996627760937331E-3</v>
      </c>
      <c r="I56" s="54">
        <f>BA12</f>
        <v>46220</v>
      </c>
      <c r="J56" s="54">
        <f>BC12</f>
        <v>46234</v>
      </c>
      <c r="K56" s="176">
        <f t="shared" si="16"/>
        <v>14</v>
      </c>
      <c r="L56" s="180"/>
      <c r="M56" s="56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5">
        <f>$H$56/2</f>
        <v>1.2998313880468665E-3</v>
      </c>
      <c r="BC56" s="135">
        <f>$H$56/2</f>
        <v>1.2998313880468665E-3</v>
      </c>
      <c r="BD56" s="135"/>
      <c r="BE56" s="135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</row>
    <row r="57" spans="1:69" ht="4.95" customHeight="1" outlineLevel="1" x14ac:dyDescent="0.3">
      <c r="A57" s="57"/>
      <c r="B57" s="72"/>
      <c r="C57" s="72"/>
      <c r="D57" s="58"/>
      <c r="E57" s="58"/>
      <c r="F57" s="58"/>
      <c r="G57" s="58"/>
      <c r="H57" s="53"/>
      <c r="I57" s="54"/>
      <c r="J57" s="54"/>
      <c r="K57" s="55"/>
      <c r="L57" s="180"/>
      <c r="M57" s="75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5"/>
      <c r="BC57" s="135"/>
      <c r="BD57" s="135"/>
      <c r="BE57" s="135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</row>
    <row r="58" spans="1:69" s="67" customFormat="1" ht="15" customHeight="1" outlineLevel="1" x14ac:dyDescent="0.3">
      <c r="A58" s="40" t="s">
        <v>16</v>
      </c>
      <c r="B58" s="41" t="s">
        <v>61</v>
      </c>
      <c r="C58" s="42"/>
      <c r="D58" s="42"/>
      <c r="E58" s="42"/>
      <c r="F58" s="42"/>
      <c r="G58" s="42"/>
      <c r="H58" s="63"/>
      <c r="I58" s="64"/>
      <c r="J58" s="64"/>
      <c r="K58" s="45"/>
      <c r="L58" s="181"/>
      <c r="M58" s="127"/>
      <c r="N58" s="138"/>
      <c r="O58" s="138"/>
      <c r="P58" s="138"/>
      <c r="Q58" s="138"/>
      <c r="R58" s="139"/>
      <c r="S58" s="139"/>
      <c r="T58" s="139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36"/>
      <c r="BC58" s="136"/>
      <c r="BD58" s="136"/>
      <c r="BE58" s="13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</row>
    <row r="59" spans="1:69" outlineLevel="1" x14ac:dyDescent="0.3">
      <c r="A59" s="49" t="s">
        <v>12</v>
      </c>
      <c r="B59" s="128" t="s">
        <v>43</v>
      </c>
      <c r="C59" s="72"/>
      <c r="D59" s="58"/>
      <c r="E59" s="58"/>
      <c r="F59" s="58"/>
      <c r="G59" s="58"/>
      <c r="H59" s="53"/>
      <c r="I59" s="54"/>
      <c r="J59" s="54"/>
      <c r="K59" s="55"/>
      <c r="L59" s="180"/>
      <c r="M59" s="56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5"/>
      <c r="AO59" s="135"/>
      <c r="AP59" s="135"/>
      <c r="AQ59" s="135"/>
      <c r="AR59" s="135"/>
      <c r="AS59" s="135"/>
      <c r="AT59" s="135"/>
      <c r="AU59" s="135"/>
      <c r="AV59" s="135"/>
      <c r="AW59" s="135"/>
      <c r="AX59" s="135"/>
      <c r="AY59" s="135"/>
      <c r="AZ59" s="135"/>
      <c r="BA59" s="135"/>
      <c r="BB59" s="135"/>
      <c r="BC59" s="135"/>
      <c r="BD59" s="135"/>
      <c r="BE59" s="135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</row>
    <row r="60" spans="1:69" outlineLevel="1" x14ac:dyDescent="0.3">
      <c r="A60" s="57">
        <v>1</v>
      </c>
      <c r="B60" s="72" t="s">
        <v>62</v>
      </c>
      <c r="C60" s="72"/>
      <c r="D60" s="58"/>
      <c r="E60" s="58"/>
      <c r="F60" s="58"/>
      <c r="G60" s="58"/>
      <c r="H60" s="53">
        <v>2.969641664771672E-2</v>
      </c>
      <c r="I60" s="54">
        <f>AI12</f>
        <v>46094</v>
      </c>
      <c r="J60" s="54">
        <f>AK12</f>
        <v>46108</v>
      </c>
      <c r="K60" s="55">
        <f t="shared" ref="K60:K83" si="20">J60-I60</f>
        <v>14</v>
      </c>
      <c r="L60" s="180"/>
      <c r="M60" s="56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>
        <f>$H$60/2</f>
        <v>1.484820832385836E-2</v>
      </c>
      <c r="AK60" s="137">
        <f>$H$60/2</f>
        <v>1.484820832385836E-2</v>
      </c>
      <c r="AL60" s="137"/>
      <c r="AM60" s="137"/>
      <c r="AN60" s="135"/>
      <c r="AO60" s="135"/>
      <c r="AP60" s="135"/>
      <c r="AQ60" s="135"/>
      <c r="AR60" s="135"/>
      <c r="AS60" s="135"/>
      <c r="AT60" s="135"/>
      <c r="AU60" s="135"/>
      <c r="AV60" s="135"/>
      <c r="AW60" s="135"/>
      <c r="AX60" s="135"/>
      <c r="AY60" s="135"/>
      <c r="AZ60" s="135"/>
      <c r="BA60" s="135"/>
      <c r="BB60" s="135"/>
      <c r="BC60" s="135"/>
      <c r="BD60" s="135"/>
      <c r="BE60" s="135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</row>
    <row r="61" spans="1:69" outlineLevel="1" x14ac:dyDescent="0.3">
      <c r="A61" s="57">
        <v>2</v>
      </c>
      <c r="B61" s="72" t="s">
        <v>63</v>
      </c>
      <c r="C61" s="72"/>
      <c r="D61" s="58"/>
      <c r="E61" s="58"/>
      <c r="F61" s="58"/>
      <c r="G61" s="58"/>
      <c r="H61" s="53">
        <v>1.088568470138505E-2</v>
      </c>
      <c r="I61" s="54">
        <f>AX12</f>
        <v>46199</v>
      </c>
      <c r="J61" s="54">
        <f>AZ12</f>
        <v>46213</v>
      </c>
      <c r="K61" s="176">
        <f t="shared" si="20"/>
        <v>14</v>
      </c>
      <c r="L61" s="180"/>
      <c r="M61" s="56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5"/>
      <c r="AO61" s="135"/>
      <c r="AP61" s="135"/>
      <c r="AQ61" s="135"/>
      <c r="AR61" s="135"/>
      <c r="AS61" s="135"/>
      <c r="AT61" s="135"/>
      <c r="AU61" s="135"/>
      <c r="AV61" s="135"/>
      <c r="AW61" s="135"/>
      <c r="AX61" s="135"/>
      <c r="AY61" s="135">
        <f>$H$61/2</f>
        <v>5.4428423506925252E-3</v>
      </c>
      <c r="AZ61" s="135">
        <f>$H$61/2</f>
        <v>5.4428423506925252E-3</v>
      </c>
      <c r="BA61" s="135"/>
      <c r="BB61" s="135"/>
      <c r="BC61" s="135"/>
      <c r="BD61" s="135"/>
      <c r="BE61" s="135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</row>
    <row r="62" spans="1:69" outlineLevel="1" x14ac:dyDescent="0.3">
      <c r="A62" s="57">
        <v>3</v>
      </c>
      <c r="B62" s="72" t="s">
        <v>64</v>
      </c>
      <c r="C62" s="72"/>
      <c r="D62" s="58"/>
      <c r="E62" s="58"/>
      <c r="F62" s="58"/>
      <c r="G62" s="58"/>
      <c r="H62" s="53">
        <v>1.3707899253595989E-3</v>
      </c>
      <c r="I62" s="54">
        <f>AJ12</f>
        <v>46101</v>
      </c>
      <c r="J62" s="54">
        <f>AK12</f>
        <v>46108</v>
      </c>
      <c r="K62" s="55">
        <f t="shared" si="20"/>
        <v>7</v>
      </c>
      <c r="L62" s="180"/>
      <c r="M62" s="56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>
        <f>H62</f>
        <v>1.3707899253595989E-3</v>
      </c>
      <c r="AL62" s="137"/>
      <c r="AM62" s="137"/>
      <c r="AN62" s="135"/>
      <c r="AO62" s="135"/>
      <c r="AP62" s="135"/>
      <c r="AQ62" s="135"/>
      <c r="AR62" s="135"/>
      <c r="AS62" s="135"/>
      <c r="AT62" s="135"/>
      <c r="AU62" s="135"/>
      <c r="AV62" s="135"/>
      <c r="AW62" s="135"/>
      <c r="AX62" s="135"/>
      <c r="AY62" s="135"/>
      <c r="AZ62" s="135"/>
      <c r="BA62" s="135"/>
      <c r="BB62" s="135"/>
      <c r="BC62" s="135"/>
      <c r="BD62" s="135"/>
      <c r="BE62" s="135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</row>
    <row r="63" spans="1:69" outlineLevel="1" x14ac:dyDescent="0.3">
      <c r="A63" s="57">
        <v>4</v>
      </c>
      <c r="B63" s="72" t="s">
        <v>65</v>
      </c>
      <c r="C63" s="72"/>
      <c r="D63" s="58"/>
      <c r="E63" s="58"/>
      <c r="F63" s="58"/>
      <c r="G63" s="58"/>
      <c r="H63" s="53">
        <v>1.6328527052077576E-3</v>
      </c>
      <c r="I63" s="54">
        <f>AZ12</f>
        <v>46213</v>
      </c>
      <c r="J63" s="54">
        <f>BB12</f>
        <v>46227</v>
      </c>
      <c r="K63" s="176">
        <f t="shared" si="20"/>
        <v>14</v>
      </c>
      <c r="L63" s="180"/>
      <c r="M63" s="56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5"/>
      <c r="AO63" s="135"/>
      <c r="AP63" s="135"/>
      <c r="AQ63" s="135"/>
      <c r="AR63" s="135"/>
      <c r="AS63" s="135"/>
      <c r="AT63" s="135"/>
      <c r="AU63" s="135"/>
      <c r="AV63" s="135"/>
      <c r="AW63" s="135"/>
      <c r="AX63" s="135"/>
      <c r="AY63" s="135"/>
      <c r="AZ63" s="135"/>
      <c r="BA63" s="135">
        <f>$H$63/2</f>
        <v>8.164263526038788E-4</v>
      </c>
      <c r="BB63" s="135">
        <f>$H$63/2</f>
        <v>8.164263526038788E-4</v>
      </c>
      <c r="BC63" s="135"/>
      <c r="BD63" s="135"/>
      <c r="BE63" s="135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</row>
    <row r="64" spans="1:69" s="71" customFormat="1" outlineLevel="1" x14ac:dyDescent="0.3">
      <c r="A64" s="49" t="s">
        <v>13</v>
      </c>
      <c r="B64" s="128" t="s">
        <v>50</v>
      </c>
      <c r="C64" s="72"/>
      <c r="D64" s="58"/>
      <c r="E64" s="58"/>
      <c r="F64" s="58"/>
      <c r="G64" s="58"/>
      <c r="H64" s="53"/>
      <c r="I64" s="54"/>
      <c r="J64" s="54"/>
      <c r="K64" s="55"/>
      <c r="L64" s="180"/>
      <c r="M64" s="56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5"/>
      <c r="AO64" s="135"/>
      <c r="AP64" s="135"/>
      <c r="AQ64" s="135"/>
      <c r="AR64" s="135"/>
      <c r="AS64" s="135"/>
      <c r="AT64" s="135"/>
      <c r="AU64" s="135"/>
      <c r="AV64" s="135"/>
      <c r="AW64" s="135"/>
      <c r="AX64" s="135"/>
      <c r="AY64" s="135"/>
      <c r="AZ64" s="135"/>
      <c r="BA64" s="135"/>
      <c r="BB64" s="135"/>
      <c r="BC64" s="135"/>
      <c r="BD64" s="135"/>
      <c r="BE64" s="135"/>
      <c r="BF64" s="70"/>
      <c r="BG64" s="70"/>
      <c r="BH64" s="70"/>
      <c r="BI64" s="70"/>
      <c r="BJ64" s="70"/>
      <c r="BK64" s="70"/>
      <c r="BL64" s="70"/>
      <c r="BM64" s="70"/>
      <c r="BN64" s="70"/>
      <c r="BO64" s="70"/>
      <c r="BP64" s="70"/>
      <c r="BQ64" s="70"/>
    </row>
    <row r="65" spans="1:69" ht="15" customHeight="1" outlineLevel="1" x14ac:dyDescent="0.3">
      <c r="A65" s="57">
        <v>1</v>
      </c>
      <c r="B65" s="50" t="s">
        <v>62</v>
      </c>
      <c r="C65" s="72"/>
      <c r="D65" s="58"/>
      <c r="E65" s="58"/>
      <c r="F65" s="58"/>
      <c r="G65" s="58"/>
      <c r="H65" s="53">
        <v>3.7347305907591416E-2</v>
      </c>
      <c r="I65" s="54">
        <f>AG12</f>
        <v>46080</v>
      </c>
      <c r="J65" s="54">
        <f>AI12</f>
        <v>46094</v>
      </c>
      <c r="K65" s="55">
        <f t="shared" si="20"/>
        <v>14</v>
      </c>
      <c r="L65" s="180"/>
      <c r="M65" s="68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>
        <f>$H$65/2</f>
        <v>1.8673652953795708E-2</v>
      </c>
      <c r="AI65" s="137">
        <f>$H$65/2</f>
        <v>1.8673652953795708E-2</v>
      </c>
      <c r="AJ65" s="137"/>
      <c r="AK65" s="137"/>
      <c r="AL65" s="137"/>
      <c r="AM65" s="137"/>
      <c r="AN65" s="135"/>
      <c r="AO65" s="135"/>
      <c r="AP65" s="135"/>
      <c r="AQ65" s="135"/>
      <c r="AR65" s="135"/>
      <c r="AS65" s="135"/>
      <c r="AT65" s="135"/>
      <c r="AU65" s="135"/>
      <c r="AV65" s="135"/>
      <c r="AW65" s="135"/>
      <c r="AX65" s="135"/>
      <c r="AY65" s="135"/>
      <c r="AZ65" s="135"/>
      <c r="BA65" s="135"/>
      <c r="BB65" s="135"/>
      <c r="BC65" s="135"/>
      <c r="BD65" s="135"/>
      <c r="BE65" s="135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</row>
    <row r="66" spans="1:69" outlineLevel="1" x14ac:dyDescent="0.3">
      <c r="A66" s="57">
        <v>2</v>
      </c>
      <c r="B66" s="72" t="s">
        <v>66</v>
      </c>
      <c r="C66" s="72"/>
      <c r="D66" s="58"/>
      <c r="E66" s="58"/>
      <c r="F66" s="58"/>
      <c r="G66" s="58"/>
      <c r="H66" s="53">
        <v>5.8056985074053605E-3</v>
      </c>
      <c r="I66" s="54">
        <f>AV12</f>
        <v>46185</v>
      </c>
      <c r="J66" s="54">
        <f>AY12</f>
        <v>46206</v>
      </c>
      <c r="K66" s="176">
        <f t="shared" si="20"/>
        <v>21</v>
      </c>
      <c r="L66" s="180"/>
      <c r="M66" s="56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5"/>
      <c r="AO66" s="135"/>
      <c r="AP66" s="135"/>
      <c r="AQ66" s="135"/>
      <c r="AR66" s="135"/>
      <c r="AS66" s="135"/>
      <c r="AT66" s="135"/>
      <c r="AU66" s="135"/>
      <c r="AV66" s="135"/>
      <c r="AW66" s="135">
        <f>$H$66/3</f>
        <v>1.9352328358017868E-3</v>
      </c>
      <c r="AX66" s="135">
        <f t="shared" ref="AX66:AY66" si="21">$H$66/3</f>
        <v>1.9352328358017868E-3</v>
      </c>
      <c r="AY66" s="135">
        <f t="shared" si="21"/>
        <v>1.9352328358017868E-3</v>
      </c>
      <c r="AZ66" s="135"/>
      <c r="BA66" s="135"/>
      <c r="BB66" s="135"/>
      <c r="BC66" s="135"/>
      <c r="BD66" s="135"/>
      <c r="BE66" s="135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</row>
    <row r="67" spans="1:69" outlineLevel="1" x14ac:dyDescent="0.3">
      <c r="A67" s="57">
        <v>3</v>
      </c>
      <c r="B67" s="72" t="s">
        <v>64</v>
      </c>
      <c r="C67" s="72"/>
      <c r="D67" s="59"/>
      <c r="E67" s="59"/>
      <c r="F67" s="59"/>
      <c r="G67" s="59"/>
      <c r="H67" s="53">
        <v>2.3988823693792977E-3</v>
      </c>
      <c r="I67" s="54">
        <f>AH12</f>
        <v>46087</v>
      </c>
      <c r="J67" s="54">
        <f>AI12</f>
        <v>46094</v>
      </c>
      <c r="K67" s="55">
        <f t="shared" si="20"/>
        <v>7</v>
      </c>
      <c r="L67" s="180"/>
      <c r="M67" s="56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>
        <f>H67</f>
        <v>2.3988823693792977E-3</v>
      </c>
      <c r="AJ67" s="137"/>
      <c r="AK67" s="137"/>
      <c r="AL67" s="137"/>
      <c r="AM67" s="137"/>
      <c r="AN67" s="135"/>
      <c r="AO67" s="135"/>
      <c r="AP67" s="135"/>
      <c r="AQ67" s="135"/>
      <c r="AR67" s="135"/>
      <c r="AS67" s="135"/>
      <c r="AT67" s="135"/>
      <c r="AU67" s="135"/>
      <c r="AV67" s="135"/>
      <c r="AW67" s="135"/>
      <c r="AX67" s="135"/>
      <c r="AY67" s="135"/>
      <c r="AZ67" s="135"/>
      <c r="BA67" s="135"/>
      <c r="BB67" s="135"/>
      <c r="BC67" s="135"/>
      <c r="BD67" s="135"/>
      <c r="BE67" s="135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</row>
    <row r="68" spans="1:69" outlineLevel="1" x14ac:dyDescent="0.3">
      <c r="A68" s="57">
        <v>4</v>
      </c>
      <c r="B68" s="72" t="s">
        <v>65</v>
      </c>
      <c r="C68" s="72"/>
      <c r="D68" s="59"/>
      <c r="E68" s="59"/>
      <c r="F68" s="59"/>
      <c r="G68" s="59"/>
      <c r="H68" s="53">
        <v>2.963325279821486E-3</v>
      </c>
      <c r="I68" s="54">
        <f>AZ12</f>
        <v>46213</v>
      </c>
      <c r="J68" s="54">
        <f>BB12</f>
        <v>46227</v>
      </c>
      <c r="K68" s="176">
        <f t="shared" si="20"/>
        <v>14</v>
      </c>
      <c r="L68" s="180"/>
      <c r="M68" s="56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5"/>
      <c r="AO68" s="135"/>
      <c r="AP68" s="135"/>
      <c r="AQ68" s="135"/>
      <c r="AR68" s="135"/>
      <c r="AS68" s="135"/>
      <c r="AT68" s="135"/>
      <c r="AU68" s="135"/>
      <c r="AV68" s="135"/>
      <c r="AW68" s="135"/>
      <c r="AX68" s="135"/>
      <c r="AY68" s="135"/>
      <c r="AZ68" s="135"/>
      <c r="BA68" s="135">
        <f>$H$68/2</f>
        <v>1.481662639910743E-3</v>
      </c>
      <c r="BB68" s="135">
        <f>$H$68/2</f>
        <v>1.481662639910743E-3</v>
      </c>
      <c r="BC68" s="135"/>
      <c r="BD68" s="135"/>
      <c r="BE68" s="135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</row>
    <row r="69" spans="1:69" outlineLevel="1" x14ac:dyDescent="0.3">
      <c r="A69" s="49" t="s">
        <v>14</v>
      </c>
      <c r="B69" s="128" t="s">
        <v>53</v>
      </c>
      <c r="C69" s="72"/>
      <c r="D69" s="59"/>
      <c r="E69" s="59"/>
      <c r="F69" s="59"/>
      <c r="G69" s="59"/>
      <c r="H69" s="53"/>
      <c r="I69" s="54"/>
      <c r="J69" s="54"/>
      <c r="K69" s="55"/>
      <c r="L69" s="180"/>
      <c r="M69" s="56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5"/>
      <c r="AO69" s="135"/>
      <c r="AP69" s="135"/>
      <c r="AQ69" s="135"/>
      <c r="AR69" s="135"/>
      <c r="AS69" s="135"/>
      <c r="AT69" s="135"/>
      <c r="AU69" s="135"/>
      <c r="AV69" s="135"/>
      <c r="AW69" s="135"/>
      <c r="AX69" s="135"/>
      <c r="AY69" s="135"/>
      <c r="AZ69" s="135"/>
      <c r="BA69" s="135"/>
      <c r="BB69" s="135"/>
      <c r="BC69" s="135"/>
      <c r="BD69" s="135"/>
      <c r="BE69" s="135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</row>
    <row r="70" spans="1:69" outlineLevel="1" x14ac:dyDescent="0.3">
      <c r="A70" s="57">
        <v>1</v>
      </c>
      <c r="B70" s="50" t="s">
        <v>62</v>
      </c>
      <c r="C70" s="72"/>
      <c r="D70" s="59"/>
      <c r="E70" s="59"/>
      <c r="F70" s="59"/>
      <c r="G70" s="59"/>
      <c r="H70" s="53">
        <v>2.5192431004726373E-2</v>
      </c>
      <c r="I70" s="54">
        <f>AC12</f>
        <v>46052</v>
      </c>
      <c r="J70" s="54">
        <f>AE12</f>
        <v>46066</v>
      </c>
      <c r="K70" s="55">
        <f t="shared" si="20"/>
        <v>14</v>
      </c>
      <c r="L70" s="180"/>
      <c r="M70" s="56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>
        <f>$H$70/2</f>
        <v>1.2596215502363187E-2</v>
      </c>
      <c r="AE70" s="137">
        <f>$H$70/2</f>
        <v>1.2596215502363187E-2</v>
      </c>
      <c r="AF70" s="137"/>
      <c r="AG70" s="137"/>
      <c r="AH70" s="137"/>
      <c r="AI70" s="137"/>
      <c r="AJ70" s="137"/>
      <c r="AK70" s="137"/>
      <c r="AL70" s="137"/>
      <c r="AM70" s="137"/>
      <c r="AN70" s="135"/>
      <c r="AO70" s="135"/>
      <c r="AP70" s="135"/>
      <c r="AQ70" s="135"/>
      <c r="AR70" s="135"/>
      <c r="AS70" s="135"/>
      <c r="AT70" s="135"/>
      <c r="AU70" s="135"/>
      <c r="AV70" s="135"/>
      <c r="AW70" s="135"/>
      <c r="AX70" s="135"/>
      <c r="AY70" s="135"/>
      <c r="AZ70" s="135"/>
      <c r="BA70" s="135"/>
      <c r="BB70" s="135"/>
      <c r="BC70" s="135"/>
      <c r="BD70" s="135"/>
      <c r="BE70" s="135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</row>
    <row r="71" spans="1:69" outlineLevel="1" x14ac:dyDescent="0.3">
      <c r="A71" s="57">
        <v>2</v>
      </c>
      <c r="B71" s="72" t="s">
        <v>66</v>
      </c>
      <c r="C71" s="72"/>
      <c r="D71" s="59"/>
      <c r="E71" s="59"/>
      <c r="F71" s="59"/>
      <c r="G71" s="59"/>
      <c r="H71" s="53">
        <v>3.6285615671283501E-3</v>
      </c>
      <c r="I71" s="54">
        <f>AV12</f>
        <v>46185</v>
      </c>
      <c r="J71" s="54">
        <f>AY12</f>
        <v>46206</v>
      </c>
      <c r="K71" s="176">
        <f t="shared" si="20"/>
        <v>21</v>
      </c>
      <c r="L71" s="180"/>
      <c r="M71" s="56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>
        <f>$H$71/3</f>
        <v>1.2095205223761167E-3</v>
      </c>
      <c r="AX71" s="135">
        <f t="shared" ref="AX71:AY71" si="22">$H$71/3</f>
        <v>1.2095205223761167E-3</v>
      </c>
      <c r="AY71" s="135">
        <f t="shared" si="22"/>
        <v>1.2095205223761167E-3</v>
      </c>
      <c r="AZ71" s="135"/>
      <c r="BA71" s="135"/>
      <c r="BB71" s="135"/>
      <c r="BC71" s="135"/>
      <c r="BD71" s="135"/>
      <c r="BE71" s="135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</row>
    <row r="72" spans="1:69" outlineLevel="1" x14ac:dyDescent="0.3">
      <c r="A72" s="57">
        <v>3</v>
      </c>
      <c r="B72" s="72" t="s">
        <v>64</v>
      </c>
      <c r="C72" s="73"/>
      <c r="D72" s="81"/>
      <c r="E72" s="81"/>
      <c r="F72" s="81"/>
      <c r="G72" s="81"/>
      <c r="H72" s="53">
        <v>1.3707899253595989E-3</v>
      </c>
      <c r="I72" s="54">
        <f>AE12</f>
        <v>46066</v>
      </c>
      <c r="J72" s="54">
        <f>AF12</f>
        <v>46073</v>
      </c>
      <c r="K72" s="177">
        <f t="shared" si="20"/>
        <v>7</v>
      </c>
      <c r="L72" s="180"/>
      <c r="M72" s="75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>
        <f>H72</f>
        <v>1.3707899253595989E-3</v>
      </c>
      <c r="AG72" s="137"/>
      <c r="AH72" s="137"/>
      <c r="AI72" s="137"/>
      <c r="AJ72" s="137"/>
      <c r="AK72" s="137"/>
      <c r="AL72" s="137"/>
      <c r="AM72" s="137"/>
      <c r="AN72" s="135"/>
      <c r="AO72" s="135"/>
      <c r="AP72" s="135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</row>
    <row r="73" spans="1:69" outlineLevel="1" x14ac:dyDescent="0.3">
      <c r="A73" s="57">
        <v>4</v>
      </c>
      <c r="B73" s="72" t="s">
        <v>65</v>
      </c>
      <c r="C73" s="72"/>
      <c r="D73" s="59"/>
      <c r="E73" s="59"/>
      <c r="F73" s="59"/>
      <c r="G73" s="59"/>
      <c r="H73" s="53">
        <v>6.3499827424746123E-4</v>
      </c>
      <c r="I73" s="54">
        <f>AE12</f>
        <v>46066</v>
      </c>
      <c r="J73" s="54">
        <f>AF12</f>
        <v>46073</v>
      </c>
      <c r="K73" s="55">
        <f t="shared" si="20"/>
        <v>7</v>
      </c>
      <c r="L73" s="180"/>
      <c r="M73" s="56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>
        <f>H73</f>
        <v>6.3499827424746123E-4</v>
      </c>
      <c r="AG73" s="137"/>
      <c r="AH73" s="137"/>
      <c r="AI73" s="137"/>
      <c r="AJ73" s="137"/>
      <c r="AK73" s="137"/>
      <c r="AL73" s="137"/>
      <c r="AM73" s="137"/>
      <c r="AN73" s="135"/>
      <c r="AO73" s="135"/>
      <c r="AP73" s="135"/>
      <c r="AQ73" s="135"/>
      <c r="AR73" s="135"/>
      <c r="AS73" s="135"/>
      <c r="AT73" s="135"/>
      <c r="AU73" s="135"/>
      <c r="AV73" s="135"/>
      <c r="AW73" s="135"/>
      <c r="AX73" s="135"/>
      <c r="AY73" s="135"/>
      <c r="AZ73" s="135"/>
      <c r="BA73" s="135"/>
      <c r="BB73" s="135"/>
      <c r="BC73" s="135"/>
      <c r="BD73" s="135"/>
      <c r="BE73" s="135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</row>
    <row r="74" spans="1:69" ht="4.95" customHeight="1" outlineLevel="1" x14ac:dyDescent="0.3">
      <c r="A74" s="80"/>
      <c r="B74" s="72"/>
      <c r="C74" s="72"/>
      <c r="D74" s="59"/>
      <c r="E74" s="59"/>
      <c r="F74" s="59"/>
      <c r="G74" s="59"/>
      <c r="H74" s="53"/>
      <c r="I74" s="54"/>
      <c r="J74" s="54"/>
      <c r="K74" s="55"/>
      <c r="L74" s="180"/>
      <c r="M74" s="56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5"/>
      <c r="AO74" s="135"/>
      <c r="AP74" s="135"/>
      <c r="AQ74" s="135"/>
      <c r="AR74" s="135"/>
      <c r="AS74" s="135"/>
      <c r="AT74" s="135"/>
      <c r="AU74" s="135"/>
      <c r="AV74" s="135"/>
      <c r="AW74" s="135"/>
      <c r="AX74" s="135"/>
      <c r="AY74" s="135"/>
      <c r="AZ74" s="135"/>
      <c r="BA74" s="135"/>
      <c r="BB74" s="135"/>
      <c r="BC74" s="135"/>
      <c r="BD74" s="135"/>
      <c r="BE74" s="135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</row>
    <row r="75" spans="1:69" s="67" customFormat="1" ht="15" customHeight="1" outlineLevel="1" x14ac:dyDescent="0.3">
      <c r="A75" s="40" t="s">
        <v>18</v>
      </c>
      <c r="B75" s="41" t="s">
        <v>67</v>
      </c>
      <c r="C75" s="42"/>
      <c r="D75" s="42"/>
      <c r="E75" s="42"/>
      <c r="F75" s="42"/>
      <c r="G75" s="42"/>
      <c r="H75" s="63"/>
      <c r="I75" s="64"/>
      <c r="J75" s="64"/>
      <c r="K75" s="45"/>
      <c r="L75" s="181"/>
      <c r="M75" s="127"/>
      <c r="N75" s="138"/>
      <c r="O75" s="138"/>
      <c r="P75" s="138"/>
      <c r="Q75" s="138"/>
      <c r="R75" s="139"/>
      <c r="S75" s="139"/>
      <c r="T75" s="139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6"/>
      <c r="AO75" s="136"/>
      <c r="AP75" s="136"/>
      <c r="AQ75" s="136"/>
      <c r="AR75" s="136"/>
      <c r="AS75" s="136"/>
      <c r="AT75" s="136"/>
      <c r="AU75" s="136"/>
      <c r="AV75" s="136"/>
      <c r="AW75" s="136"/>
      <c r="AX75" s="136"/>
      <c r="AY75" s="136"/>
      <c r="AZ75" s="136"/>
      <c r="BA75" s="136"/>
      <c r="BB75" s="136"/>
      <c r="BC75" s="136"/>
      <c r="BD75" s="136"/>
      <c r="BE75" s="13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</row>
    <row r="76" spans="1:69" outlineLevel="1" x14ac:dyDescent="0.3">
      <c r="A76" s="80">
        <v>1</v>
      </c>
      <c r="B76" s="72" t="s">
        <v>68</v>
      </c>
      <c r="C76" s="72"/>
      <c r="D76" s="59"/>
      <c r="E76" s="59"/>
      <c r="F76" s="59"/>
      <c r="G76" s="59"/>
      <c r="H76" s="53">
        <v>2.9215471554978664E-3</v>
      </c>
      <c r="I76" s="54">
        <f>AO12</f>
        <v>46136</v>
      </c>
      <c r="J76" s="54">
        <f>AP12</f>
        <v>46143</v>
      </c>
      <c r="K76" s="176">
        <f t="shared" si="20"/>
        <v>7</v>
      </c>
      <c r="L76" s="180"/>
      <c r="M76" s="56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>
        <f t="shared" ref="AN76:AO76" si="23">$H$76/3</f>
        <v>9.7384905183262212E-4</v>
      </c>
      <c r="AO76" s="137">
        <f t="shared" si="23"/>
        <v>9.7384905183262212E-4</v>
      </c>
      <c r="AP76" s="137">
        <f>$H$76/3</f>
        <v>9.7384905183262212E-4</v>
      </c>
      <c r="AQ76" s="137"/>
      <c r="AR76" s="135"/>
      <c r="AS76" s="135"/>
      <c r="AT76" s="135"/>
      <c r="AU76" s="135"/>
      <c r="AV76" s="135"/>
      <c r="AW76" s="135"/>
      <c r="AX76" s="135"/>
      <c r="AY76" s="135"/>
      <c r="AZ76" s="135"/>
      <c r="BA76" s="135"/>
      <c r="BB76" s="135"/>
      <c r="BC76" s="135"/>
      <c r="BD76" s="135"/>
      <c r="BE76" s="135"/>
    </row>
    <row r="77" spans="1:69" s="71" customFormat="1" outlineLevel="1" x14ac:dyDescent="0.3">
      <c r="A77" s="57">
        <v>2</v>
      </c>
      <c r="B77" s="72" t="s">
        <v>69</v>
      </c>
      <c r="C77" s="72"/>
      <c r="D77" s="58"/>
      <c r="E77" s="58"/>
      <c r="F77" s="58"/>
      <c r="G77" s="58"/>
      <c r="H77" s="53">
        <v>1.5192045208588904E-3</v>
      </c>
      <c r="I77" s="54">
        <f>AP12</f>
        <v>46143</v>
      </c>
      <c r="J77" s="54">
        <f>AQ12</f>
        <v>46150</v>
      </c>
      <c r="K77" s="176">
        <f t="shared" si="20"/>
        <v>7</v>
      </c>
      <c r="L77" s="180"/>
      <c r="M77" s="56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5"/>
      <c r="AO77" s="135"/>
      <c r="AP77" s="137"/>
      <c r="AQ77" s="137">
        <f>H77</f>
        <v>1.5192045208588904E-3</v>
      </c>
      <c r="AR77" s="135"/>
      <c r="AS77" s="135"/>
      <c r="AT77" s="135"/>
      <c r="AU77" s="135"/>
      <c r="AV77" s="135"/>
      <c r="AW77" s="135"/>
      <c r="AX77" s="135"/>
      <c r="AY77" s="135"/>
      <c r="AZ77" s="135"/>
      <c r="BA77" s="135"/>
      <c r="BB77" s="135"/>
      <c r="BC77" s="135"/>
      <c r="BD77" s="135"/>
      <c r="BE77" s="135"/>
      <c r="BF77" s="70"/>
      <c r="BG77" s="70"/>
      <c r="BH77" s="70"/>
      <c r="BI77" s="70"/>
      <c r="BJ77" s="70"/>
      <c r="BK77" s="70"/>
      <c r="BL77" s="70"/>
      <c r="BM77" s="70"/>
      <c r="BN77" s="70"/>
      <c r="BO77" s="70"/>
      <c r="BP77" s="70"/>
      <c r="BQ77" s="70"/>
    </row>
    <row r="78" spans="1:69" outlineLevel="1" x14ac:dyDescent="0.3">
      <c r="A78" s="80">
        <v>3</v>
      </c>
      <c r="B78" s="72" t="s">
        <v>70</v>
      </c>
      <c r="C78" s="72"/>
      <c r="D78" s="58"/>
      <c r="E78" s="58"/>
      <c r="F78" s="58"/>
      <c r="G78" s="58"/>
      <c r="H78" s="53">
        <v>7.1168888707928025E-3</v>
      </c>
      <c r="I78" s="54">
        <f>AP12</f>
        <v>46143</v>
      </c>
      <c r="J78" s="54">
        <f>AQ12</f>
        <v>46150</v>
      </c>
      <c r="K78" s="176">
        <f t="shared" si="20"/>
        <v>7</v>
      </c>
      <c r="L78" s="180"/>
      <c r="M78" s="68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5"/>
      <c r="AO78" s="135"/>
      <c r="AP78" s="137"/>
      <c r="AQ78" s="137">
        <f>H78</f>
        <v>7.1168888707928025E-3</v>
      </c>
      <c r="AR78" s="135"/>
      <c r="AS78" s="135"/>
      <c r="AT78" s="135"/>
      <c r="AU78" s="135"/>
      <c r="AV78" s="135"/>
      <c r="AW78" s="135"/>
      <c r="AX78" s="135"/>
      <c r="AY78" s="135"/>
      <c r="AZ78" s="135"/>
      <c r="BA78" s="135"/>
      <c r="BB78" s="135"/>
      <c r="BC78" s="135"/>
      <c r="BD78" s="135"/>
      <c r="BE78" s="135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</row>
    <row r="79" spans="1:69" outlineLevel="1" x14ac:dyDescent="0.3">
      <c r="A79" s="57">
        <v>4</v>
      </c>
      <c r="B79" s="72" t="s">
        <v>71</v>
      </c>
      <c r="C79" s="72"/>
      <c r="D79" s="58"/>
      <c r="E79" s="58"/>
      <c r="F79" s="58"/>
      <c r="G79" s="58"/>
      <c r="H79" s="53">
        <v>2.9799780986078236E-3</v>
      </c>
      <c r="I79" s="54">
        <f>AO12</f>
        <v>46136</v>
      </c>
      <c r="J79" s="54">
        <f>AP12</f>
        <v>46143</v>
      </c>
      <c r="K79" s="176">
        <f t="shared" si="20"/>
        <v>7</v>
      </c>
      <c r="L79" s="180"/>
      <c r="M79" s="56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>
        <f t="shared" ref="AN79:AO79" si="24">$H$79/3</f>
        <v>9.9332603286927446E-4</v>
      </c>
      <c r="AO79" s="137">
        <f t="shared" si="24"/>
        <v>9.9332603286927446E-4</v>
      </c>
      <c r="AP79" s="137">
        <f>$H$79/3</f>
        <v>9.9332603286927446E-4</v>
      </c>
      <c r="AQ79" s="137"/>
      <c r="AR79" s="135"/>
      <c r="AS79" s="135"/>
      <c r="AT79" s="135"/>
      <c r="AU79" s="135"/>
      <c r="AV79" s="135"/>
      <c r="AW79" s="135"/>
      <c r="AX79" s="135"/>
      <c r="AY79" s="135"/>
      <c r="AZ79" s="135"/>
      <c r="BA79" s="135"/>
      <c r="BB79" s="135"/>
      <c r="BC79" s="135"/>
      <c r="BD79" s="135"/>
      <c r="BE79" s="135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</row>
    <row r="80" spans="1:69" outlineLevel="1" x14ac:dyDescent="0.3">
      <c r="A80" s="80">
        <v>5</v>
      </c>
      <c r="B80" s="72" t="s">
        <v>72</v>
      </c>
      <c r="C80" s="72"/>
      <c r="D80" s="58"/>
      <c r="E80" s="58"/>
      <c r="F80" s="58"/>
      <c r="G80" s="58"/>
      <c r="H80" s="53">
        <v>8.4140558078338551E-4</v>
      </c>
      <c r="I80" s="54">
        <f>AP12</f>
        <v>46143</v>
      </c>
      <c r="J80" s="54">
        <f>AQ12</f>
        <v>46150</v>
      </c>
      <c r="K80" s="176">
        <f t="shared" si="20"/>
        <v>7</v>
      </c>
      <c r="L80" s="180"/>
      <c r="M80" s="56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5"/>
      <c r="AO80" s="135"/>
      <c r="AP80" s="137"/>
      <c r="AQ80" s="137">
        <f>H80</f>
        <v>8.4140558078338551E-4</v>
      </c>
      <c r="AR80" s="135"/>
      <c r="AS80" s="135"/>
      <c r="AT80" s="135"/>
      <c r="AU80" s="135"/>
      <c r="AV80" s="135"/>
      <c r="AW80" s="135"/>
      <c r="AX80" s="135"/>
      <c r="AY80" s="135"/>
      <c r="AZ80" s="135"/>
      <c r="BA80" s="135"/>
      <c r="BB80" s="135"/>
      <c r="BC80" s="135"/>
      <c r="BD80" s="135"/>
      <c r="BE80" s="135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</row>
    <row r="81" spans="1:69" outlineLevel="1" x14ac:dyDescent="0.3">
      <c r="A81" s="57">
        <v>6</v>
      </c>
      <c r="B81" s="72" t="s">
        <v>73</v>
      </c>
      <c r="C81" s="72"/>
      <c r="D81" s="85"/>
      <c r="E81" s="84"/>
      <c r="F81" s="84"/>
      <c r="G81" s="84"/>
      <c r="H81" s="53">
        <v>9.5096359911455552E-3</v>
      </c>
      <c r="I81" s="54">
        <f>AY12</f>
        <v>46206</v>
      </c>
      <c r="J81" s="54">
        <f>BA12</f>
        <v>46220</v>
      </c>
      <c r="K81" s="176">
        <f t="shared" si="20"/>
        <v>14</v>
      </c>
      <c r="L81" s="180"/>
      <c r="M81" s="56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5"/>
      <c r="AO81" s="135"/>
      <c r="AP81" s="135"/>
      <c r="AQ81" s="135"/>
      <c r="AR81" s="135"/>
      <c r="AS81" s="135"/>
      <c r="AT81" s="135"/>
      <c r="AU81" s="135"/>
      <c r="AV81" s="135"/>
      <c r="AW81" s="135"/>
      <c r="AX81" s="135"/>
      <c r="AY81" s="135"/>
      <c r="AZ81" s="137">
        <f>$H$81/2</f>
        <v>4.7548179955727776E-3</v>
      </c>
      <c r="BA81" s="137">
        <f>$H$81/2</f>
        <v>4.7548179955727776E-3</v>
      </c>
      <c r="BB81" s="135"/>
      <c r="BC81" s="135"/>
      <c r="BD81" s="135"/>
      <c r="BE81" s="135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</row>
    <row r="82" spans="1:69" outlineLevel="1" x14ac:dyDescent="0.3">
      <c r="A82" s="80">
        <v>7</v>
      </c>
      <c r="B82" s="72" t="s">
        <v>74</v>
      </c>
      <c r="C82" s="72"/>
      <c r="D82" s="85"/>
      <c r="E82" s="84"/>
      <c r="F82" s="84"/>
      <c r="G82" s="84"/>
      <c r="H82" s="53">
        <v>2.7608620619454835E-4</v>
      </c>
      <c r="I82" s="54">
        <f>AY12</f>
        <v>46206</v>
      </c>
      <c r="J82" s="54">
        <f>BA12</f>
        <v>46220</v>
      </c>
      <c r="K82" s="176">
        <f t="shared" si="20"/>
        <v>14</v>
      </c>
      <c r="L82" s="180"/>
      <c r="M82" s="56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5"/>
      <c r="AO82" s="135"/>
      <c r="AP82" s="135"/>
      <c r="AQ82" s="135"/>
      <c r="AR82" s="135"/>
      <c r="AS82" s="135"/>
      <c r="AT82" s="135"/>
      <c r="AU82" s="135"/>
      <c r="AV82" s="135"/>
      <c r="AW82" s="135"/>
      <c r="AX82" s="135"/>
      <c r="AY82" s="135"/>
      <c r="AZ82" s="137">
        <f>$H$82/2</f>
        <v>1.3804310309727417E-4</v>
      </c>
      <c r="BA82" s="137">
        <f>$H$82/2</f>
        <v>1.3804310309727417E-4</v>
      </c>
      <c r="BB82" s="135"/>
      <c r="BC82" s="135"/>
      <c r="BD82" s="135"/>
      <c r="BE82" s="135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</row>
    <row r="83" spans="1:69" outlineLevel="1" x14ac:dyDescent="0.3">
      <c r="A83" s="57">
        <v>8</v>
      </c>
      <c r="B83" s="73" t="s">
        <v>75</v>
      </c>
      <c r="C83" s="73"/>
      <c r="D83" s="86"/>
      <c r="E83" s="86"/>
      <c r="F83" s="86"/>
      <c r="G83" s="86"/>
      <c r="H83" s="53">
        <v>2.7608620619454835E-4</v>
      </c>
      <c r="I83" s="54">
        <f>AY12</f>
        <v>46206</v>
      </c>
      <c r="J83" s="54">
        <f>BA12</f>
        <v>46220</v>
      </c>
      <c r="K83" s="176">
        <f t="shared" si="20"/>
        <v>14</v>
      </c>
      <c r="L83" s="180"/>
      <c r="M83" s="75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5"/>
      <c r="AO83" s="135"/>
      <c r="AP83" s="135"/>
      <c r="AQ83" s="135"/>
      <c r="AR83" s="135"/>
      <c r="AS83" s="135"/>
      <c r="AT83" s="135"/>
      <c r="AU83" s="135"/>
      <c r="AV83" s="135"/>
      <c r="AW83" s="135"/>
      <c r="AX83" s="135"/>
      <c r="AY83" s="135"/>
      <c r="AZ83" s="137">
        <f>$H$83/2</f>
        <v>1.3804310309727417E-4</v>
      </c>
      <c r="BA83" s="137">
        <f>$H$83/2</f>
        <v>1.3804310309727417E-4</v>
      </c>
      <c r="BB83" s="135"/>
      <c r="BC83" s="135"/>
      <c r="BD83" s="135"/>
      <c r="BE83" s="135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</row>
    <row r="84" spans="1:69" ht="4.95" customHeight="1" outlineLevel="1" x14ac:dyDescent="0.3">
      <c r="A84" s="82"/>
      <c r="B84" s="50"/>
      <c r="C84" s="87"/>
      <c r="D84" s="85"/>
      <c r="E84" s="84"/>
      <c r="F84" s="84"/>
      <c r="G84" s="84"/>
      <c r="H84" s="53"/>
      <c r="I84" s="54"/>
      <c r="J84" s="54"/>
      <c r="K84" s="55"/>
      <c r="L84" s="180"/>
      <c r="M84" s="56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5"/>
      <c r="AO84" s="135"/>
      <c r="AP84" s="135"/>
      <c r="AQ84" s="135"/>
      <c r="AR84" s="135"/>
      <c r="AS84" s="135"/>
      <c r="AT84" s="135"/>
      <c r="AU84" s="135"/>
      <c r="AV84" s="135"/>
      <c r="AW84" s="135"/>
      <c r="AX84" s="135"/>
      <c r="AY84" s="135"/>
      <c r="AZ84" s="135"/>
      <c r="BA84" s="135"/>
      <c r="BB84" s="135"/>
      <c r="BC84" s="135"/>
      <c r="BD84" s="135"/>
      <c r="BE84" s="135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</row>
    <row r="85" spans="1:69" s="67" customFormat="1" ht="15" customHeight="1" outlineLevel="1" x14ac:dyDescent="0.3">
      <c r="A85" s="40" t="s">
        <v>19</v>
      </c>
      <c r="B85" s="41" t="s">
        <v>76</v>
      </c>
      <c r="C85" s="42"/>
      <c r="D85" s="42"/>
      <c r="E85" s="42"/>
      <c r="F85" s="42"/>
      <c r="G85" s="42"/>
      <c r="H85" s="63"/>
      <c r="I85" s="64"/>
      <c r="J85" s="64"/>
      <c r="K85" s="45"/>
      <c r="L85" s="181"/>
      <c r="M85" s="127"/>
      <c r="N85" s="138"/>
      <c r="O85" s="138"/>
      <c r="P85" s="138"/>
      <c r="Q85" s="138"/>
      <c r="R85" s="139"/>
      <c r="S85" s="139"/>
      <c r="T85" s="139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</row>
    <row r="86" spans="1:69" outlineLevel="1" x14ac:dyDescent="0.3">
      <c r="A86" s="57">
        <v>1</v>
      </c>
      <c r="B86" s="72" t="s">
        <v>77</v>
      </c>
      <c r="C86" s="72"/>
      <c r="D86" s="51"/>
      <c r="E86" s="51"/>
      <c r="F86" s="52"/>
      <c r="G86" s="52"/>
      <c r="H86" s="53">
        <v>1.5199641231193202E-2</v>
      </c>
      <c r="I86" s="54">
        <f>AD12</f>
        <v>46059</v>
      </c>
      <c r="J86" s="54">
        <f>AE12</f>
        <v>46066</v>
      </c>
      <c r="K86" s="176">
        <f t="shared" ref="K86:K90" si="25">J86-I86</f>
        <v>7</v>
      </c>
      <c r="L86" s="180"/>
      <c r="M86" s="56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5"/>
      <c r="AO86" s="135"/>
      <c r="AP86" s="135"/>
      <c r="AQ86" s="135"/>
      <c r="AR86" s="135">
        <f>$H$86/2</f>
        <v>7.5998206155966008E-3</v>
      </c>
      <c r="AS86" s="135">
        <f>$H$86/2</f>
        <v>7.5998206155966008E-3</v>
      </c>
      <c r="AT86" s="135"/>
      <c r="AU86" s="135"/>
      <c r="AV86" s="135"/>
      <c r="AW86" s="135"/>
      <c r="AX86" s="135"/>
      <c r="AY86" s="135"/>
      <c r="AZ86" s="135"/>
      <c r="BA86" s="135"/>
      <c r="BB86" s="135"/>
      <c r="BC86" s="135"/>
      <c r="BD86" s="135"/>
      <c r="BE86" s="135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</row>
    <row r="87" spans="1:69" outlineLevel="1" x14ac:dyDescent="0.3">
      <c r="A87" s="57">
        <v>2</v>
      </c>
      <c r="B87" s="72" t="s">
        <v>78</v>
      </c>
      <c r="C87" s="72"/>
      <c r="D87" s="51"/>
      <c r="E87" s="51"/>
      <c r="F87" s="52"/>
      <c r="G87" s="52"/>
      <c r="H87" s="53">
        <v>1.5979110012280029E-2</v>
      </c>
      <c r="I87" s="54">
        <f>AE12</f>
        <v>46066</v>
      </c>
      <c r="J87" s="54">
        <f>AF12</f>
        <v>46073</v>
      </c>
      <c r="K87" s="176">
        <f t="shared" si="25"/>
        <v>7</v>
      </c>
      <c r="L87" s="180"/>
      <c r="M87" s="56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5"/>
      <c r="AO87" s="135"/>
      <c r="AP87" s="135"/>
      <c r="AQ87" s="135"/>
      <c r="AR87" s="135"/>
      <c r="AS87" s="135"/>
      <c r="AT87" s="135">
        <f>$H$87/2</f>
        <v>7.9895550061400145E-3</v>
      </c>
      <c r="AU87" s="135">
        <f>$H$87/2</f>
        <v>7.9895550061400145E-3</v>
      </c>
      <c r="AV87" s="135"/>
      <c r="AW87" s="135"/>
      <c r="AX87" s="135"/>
      <c r="AY87" s="135"/>
      <c r="AZ87" s="135"/>
      <c r="BA87" s="135"/>
      <c r="BB87" s="135"/>
      <c r="BC87" s="135"/>
      <c r="BD87" s="135"/>
      <c r="BE87" s="135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</row>
    <row r="88" spans="1:69" s="71" customFormat="1" outlineLevel="1" x14ac:dyDescent="0.3">
      <c r="A88" s="57">
        <v>3</v>
      </c>
      <c r="B88" s="72" t="s">
        <v>79</v>
      </c>
      <c r="C88" s="72"/>
      <c r="D88" s="58"/>
      <c r="E88" s="58"/>
      <c r="F88" s="58"/>
      <c r="G88" s="58"/>
      <c r="H88" s="53">
        <v>2.8222145522109388E-3</v>
      </c>
      <c r="I88" s="54">
        <f>AF12</f>
        <v>46073</v>
      </c>
      <c r="J88" s="54">
        <f>AG12</f>
        <v>46080</v>
      </c>
      <c r="K88" s="176">
        <f t="shared" si="25"/>
        <v>7</v>
      </c>
      <c r="L88" s="180"/>
      <c r="M88" s="56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5"/>
      <c r="AO88" s="135"/>
      <c r="AP88" s="135"/>
      <c r="AQ88" s="135"/>
      <c r="AR88" s="135"/>
      <c r="AS88" s="135"/>
      <c r="AT88" s="135"/>
      <c r="AU88" s="135"/>
      <c r="AV88" s="135">
        <f>H88</f>
        <v>2.8222145522109388E-3</v>
      </c>
      <c r="AW88" s="135"/>
      <c r="AX88" s="135"/>
      <c r="AY88" s="135"/>
      <c r="AZ88" s="135"/>
      <c r="BA88" s="135"/>
      <c r="BB88" s="135"/>
      <c r="BC88" s="135"/>
      <c r="BD88" s="135"/>
      <c r="BE88" s="135"/>
      <c r="BF88" s="70"/>
      <c r="BG88" s="70"/>
      <c r="BH88" s="70"/>
      <c r="BI88" s="70"/>
      <c r="BJ88" s="70"/>
      <c r="BK88" s="70"/>
      <c r="BL88" s="70"/>
      <c r="BM88" s="70"/>
      <c r="BN88" s="70"/>
      <c r="BO88" s="70"/>
      <c r="BP88" s="70"/>
      <c r="BQ88" s="70"/>
    </row>
    <row r="89" spans="1:69" s="71" customFormat="1" outlineLevel="1" x14ac:dyDescent="0.3">
      <c r="A89" s="57">
        <v>4</v>
      </c>
      <c r="B89" s="72" t="s">
        <v>80</v>
      </c>
      <c r="C89" s="72"/>
      <c r="D89" s="58"/>
      <c r="E89" s="58"/>
      <c r="F89" s="58"/>
      <c r="G89" s="58"/>
      <c r="H89" s="53">
        <v>2.3417661224893146E-3</v>
      </c>
      <c r="I89" s="54">
        <f>AD12</f>
        <v>46059</v>
      </c>
      <c r="J89" s="54">
        <f>AG12</f>
        <v>46080</v>
      </c>
      <c r="K89" s="176">
        <f t="shared" si="25"/>
        <v>21</v>
      </c>
      <c r="L89" s="180"/>
      <c r="M89" s="56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5"/>
      <c r="AO89" s="135"/>
      <c r="AP89" s="135"/>
      <c r="AQ89" s="135"/>
      <c r="AR89" s="135">
        <f>$H$89/5</f>
        <v>4.6835322449786292E-4</v>
      </c>
      <c r="AS89" s="135">
        <f t="shared" ref="AS89:AV89" si="26">$H$89/5</f>
        <v>4.6835322449786292E-4</v>
      </c>
      <c r="AT89" s="135">
        <f t="shared" si="26"/>
        <v>4.6835322449786292E-4</v>
      </c>
      <c r="AU89" s="135">
        <f t="shared" si="26"/>
        <v>4.6835322449786292E-4</v>
      </c>
      <c r="AV89" s="135">
        <f t="shared" si="26"/>
        <v>4.6835322449786292E-4</v>
      </c>
      <c r="AW89" s="135"/>
      <c r="AX89" s="135"/>
      <c r="AY89" s="135"/>
      <c r="AZ89" s="135"/>
      <c r="BA89" s="135"/>
      <c r="BB89" s="135"/>
      <c r="BC89" s="135"/>
      <c r="BD89" s="135"/>
      <c r="BE89" s="135"/>
      <c r="BF89" s="70"/>
      <c r="BG89" s="70"/>
      <c r="BH89" s="70"/>
      <c r="BI89" s="70"/>
      <c r="BJ89" s="70"/>
      <c r="BK89" s="70"/>
      <c r="BL89" s="70"/>
      <c r="BM89" s="70"/>
      <c r="BN89" s="70"/>
      <c r="BO89" s="70"/>
      <c r="BP89" s="70"/>
      <c r="BQ89" s="70"/>
    </row>
    <row r="90" spans="1:69" s="71" customFormat="1" outlineLevel="1" x14ac:dyDescent="0.3">
      <c r="A90" s="57">
        <v>5</v>
      </c>
      <c r="B90" s="72" t="s">
        <v>81</v>
      </c>
      <c r="C90" s="72"/>
      <c r="D90" s="58"/>
      <c r="E90" s="58"/>
      <c r="F90" s="58"/>
      <c r="G90" s="58"/>
      <c r="H90" s="53">
        <v>1.5481862686414292E-3</v>
      </c>
      <c r="I90" s="54">
        <f>AD12</f>
        <v>46059</v>
      </c>
      <c r="J90" s="54">
        <f>AG12</f>
        <v>46080</v>
      </c>
      <c r="K90" s="176">
        <f t="shared" si="25"/>
        <v>21</v>
      </c>
      <c r="L90" s="180"/>
      <c r="M90" s="56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5"/>
      <c r="AO90" s="135"/>
      <c r="AP90" s="135"/>
      <c r="AQ90" s="135"/>
      <c r="AR90" s="135"/>
      <c r="AS90" s="135"/>
      <c r="AT90" s="135"/>
      <c r="AU90" s="135"/>
      <c r="AV90" s="135">
        <f>H90</f>
        <v>1.5481862686414292E-3</v>
      </c>
      <c r="AW90" s="135"/>
      <c r="AX90" s="135"/>
      <c r="AY90" s="135"/>
      <c r="AZ90" s="135"/>
      <c r="BA90" s="135"/>
      <c r="BB90" s="135"/>
      <c r="BC90" s="135"/>
      <c r="BD90" s="135"/>
      <c r="BE90" s="135"/>
      <c r="BF90" s="70"/>
      <c r="BG90" s="70"/>
      <c r="BH90" s="70"/>
      <c r="BI90" s="70"/>
      <c r="BJ90" s="70"/>
      <c r="BK90" s="70"/>
      <c r="BL90" s="70"/>
      <c r="BM90" s="70"/>
      <c r="BN90" s="70"/>
      <c r="BO90" s="70"/>
      <c r="BP90" s="70"/>
      <c r="BQ90" s="70"/>
    </row>
    <row r="91" spans="1:69" s="71" customFormat="1" ht="4.95" customHeight="1" outlineLevel="1" x14ac:dyDescent="0.3">
      <c r="A91" s="57"/>
      <c r="B91" s="72"/>
      <c r="C91" s="72"/>
      <c r="D91" s="58"/>
      <c r="E91" s="58"/>
      <c r="F91" s="58"/>
      <c r="G91" s="58"/>
      <c r="H91" s="53"/>
      <c r="I91" s="54"/>
      <c r="J91" s="54"/>
      <c r="K91" s="55"/>
      <c r="L91" s="180"/>
      <c r="M91" s="56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5"/>
      <c r="AO91" s="135"/>
      <c r="AP91" s="135"/>
      <c r="AQ91" s="135"/>
      <c r="AR91" s="135"/>
      <c r="AS91" s="135"/>
      <c r="AT91" s="135"/>
      <c r="AU91" s="135"/>
      <c r="AV91" s="135"/>
      <c r="AW91" s="135"/>
      <c r="AX91" s="135"/>
      <c r="AY91" s="135"/>
      <c r="AZ91" s="135"/>
      <c r="BA91" s="135"/>
      <c r="BB91" s="135"/>
      <c r="BC91" s="135"/>
      <c r="BD91" s="135"/>
      <c r="BE91" s="135"/>
      <c r="BF91" s="70"/>
      <c r="BG91" s="70"/>
      <c r="BH91" s="70"/>
      <c r="BI91" s="70"/>
      <c r="BJ91" s="70"/>
      <c r="BK91" s="70"/>
      <c r="BL91" s="70"/>
      <c r="BM91" s="70"/>
      <c r="BN91" s="70"/>
      <c r="BO91" s="70"/>
      <c r="BP91" s="70"/>
      <c r="BQ91" s="70"/>
    </row>
    <row r="92" spans="1:69" s="67" customFormat="1" ht="15" customHeight="1" outlineLevel="1" x14ac:dyDescent="0.3">
      <c r="A92" s="40" t="s">
        <v>20</v>
      </c>
      <c r="B92" s="41" t="s">
        <v>82</v>
      </c>
      <c r="C92" s="42"/>
      <c r="D92" s="42"/>
      <c r="E92" s="42"/>
      <c r="F92" s="42"/>
      <c r="G92" s="42"/>
      <c r="H92" s="63"/>
      <c r="I92" s="64"/>
      <c r="J92" s="64"/>
      <c r="K92" s="45"/>
      <c r="L92" s="181"/>
      <c r="M92" s="127"/>
      <c r="N92" s="138"/>
      <c r="O92" s="138"/>
      <c r="P92" s="138"/>
      <c r="Q92" s="138"/>
      <c r="R92" s="139"/>
      <c r="S92" s="139"/>
      <c r="T92" s="139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  <c r="AJ92" s="138"/>
      <c r="AK92" s="138"/>
      <c r="AL92" s="138"/>
      <c r="AM92" s="138"/>
      <c r="AN92" s="136"/>
      <c r="AO92" s="136"/>
      <c r="AP92" s="136"/>
      <c r="AQ92" s="136"/>
      <c r="AR92" s="136"/>
      <c r="AS92" s="136"/>
      <c r="AT92" s="136"/>
      <c r="AU92" s="136"/>
      <c r="AV92" s="136"/>
      <c r="AW92" s="136"/>
      <c r="AX92" s="136"/>
      <c r="AY92" s="136"/>
      <c r="AZ92" s="136"/>
      <c r="BA92" s="136"/>
      <c r="BB92" s="136"/>
      <c r="BC92" s="136"/>
      <c r="BD92" s="136"/>
      <c r="BE92" s="13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</row>
    <row r="93" spans="1:69" outlineLevel="1" x14ac:dyDescent="0.3">
      <c r="A93" s="82">
        <v>1</v>
      </c>
      <c r="B93" s="83" t="s">
        <v>83</v>
      </c>
      <c r="C93" s="84"/>
      <c r="D93" s="84"/>
      <c r="E93" s="84"/>
      <c r="F93" s="84"/>
      <c r="G93" s="84"/>
      <c r="H93" s="53">
        <v>3.292583644246095E-2</v>
      </c>
      <c r="I93" s="54">
        <f>AY12</f>
        <v>46206</v>
      </c>
      <c r="J93" s="54">
        <f>BB12</f>
        <v>46227</v>
      </c>
      <c r="K93" s="176">
        <f t="shared" ref="K93:K98" si="27">J93-I93</f>
        <v>21</v>
      </c>
      <c r="L93" s="180"/>
      <c r="M93" s="68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5"/>
      <c r="AO93" s="135"/>
      <c r="AP93" s="135"/>
      <c r="AQ93" s="135"/>
      <c r="AR93" s="135"/>
      <c r="AS93" s="135"/>
      <c r="AT93" s="135"/>
      <c r="AU93" s="135"/>
      <c r="AV93" s="135"/>
      <c r="AW93" s="135"/>
      <c r="AX93" s="135"/>
      <c r="AY93" s="135"/>
      <c r="AZ93" s="135">
        <f>$H$93/3</f>
        <v>1.0975278814153651E-2</v>
      </c>
      <c r="BA93" s="135">
        <f t="shared" ref="BA93:BB93" si="28">$H$93/3</f>
        <v>1.0975278814153651E-2</v>
      </c>
      <c r="BB93" s="135">
        <f t="shared" si="28"/>
        <v>1.0975278814153651E-2</v>
      </c>
      <c r="BC93" s="135"/>
      <c r="BD93" s="135"/>
      <c r="BE93" s="135"/>
    </row>
    <row r="94" spans="1:69" outlineLevel="1" x14ac:dyDescent="0.3">
      <c r="A94" s="82">
        <v>2</v>
      </c>
      <c r="B94" s="83" t="s">
        <v>84</v>
      </c>
      <c r="C94" s="84"/>
      <c r="D94" s="84"/>
      <c r="E94" s="84"/>
      <c r="F94" s="84"/>
      <c r="G94" s="84"/>
      <c r="H94" s="53">
        <v>3.5277681902636734E-2</v>
      </c>
      <c r="I94" s="54">
        <f>AV12</f>
        <v>46185</v>
      </c>
      <c r="J94" s="54">
        <f>AY12</f>
        <v>46206</v>
      </c>
      <c r="K94" s="176">
        <f t="shared" si="27"/>
        <v>21</v>
      </c>
      <c r="L94" s="180"/>
      <c r="M94" s="56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5"/>
      <c r="AO94" s="135"/>
      <c r="AP94" s="135"/>
      <c r="AQ94" s="135"/>
      <c r="AR94" s="135"/>
      <c r="AS94" s="135"/>
      <c r="AT94" s="135"/>
      <c r="AU94" s="135"/>
      <c r="AV94" s="135"/>
      <c r="AW94" s="135">
        <f>$H$94/3</f>
        <v>1.1759227300878911E-2</v>
      </c>
      <c r="AX94" s="135">
        <f t="shared" ref="AX94:AY94" si="29">$H$94/3</f>
        <v>1.1759227300878911E-2</v>
      </c>
      <c r="AY94" s="135">
        <f t="shared" si="29"/>
        <v>1.1759227300878911E-2</v>
      </c>
      <c r="AZ94" s="135"/>
      <c r="BA94" s="135"/>
      <c r="BB94" s="135"/>
      <c r="BC94" s="135"/>
      <c r="BD94" s="135"/>
      <c r="BE94" s="135"/>
    </row>
    <row r="95" spans="1:69" outlineLevel="1" x14ac:dyDescent="0.3">
      <c r="A95" s="82">
        <v>3</v>
      </c>
      <c r="B95" s="83" t="s">
        <v>85</v>
      </c>
      <c r="C95" s="72"/>
      <c r="D95" s="84"/>
      <c r="E95" s="84"/>
      <c r="F95" s="84"/>
      <c r="G95" s="84"/>
      <c r="H95" s="53">
        <v>1.6449479104315188E-2</v>
      </c>
      <c r="I95" s="54">
        <f>AS12</f>
        <v>46164</v>
      </c>
      <c r="J95" s="54">
        <f>AV12</f>
        <v>46185</v>
      </c>
      <c r="K95" s="176">
        <f t="shared" si="27"/>
        <v>21</v>
      </c>
      <c r="L95" s="180"/>
      <c r="M95" s="56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5"/>
      <c r="AO95" s="135"/>
      <c r="AP95" s="135"/>
      <c r="AQ95" s="135"/>
      <c r="AR95" s="135"/>
      <c r="AS95" s="135"/>
      <c r="AT95" s="135">
        <f>$H$95/3</f>
        <v>5.4831597014383957E-3</v>
      </c>
      <c r="AU95" s="135">
        <f t="shared" ref="AU95:AV95" si="30">$H$95/3</f>
        <v>5.4831597014383957E-3</v>
      </c>
      <c r="AV95" s="135">
        <f t="shared" si="30"/>
        <v>5.4831597014383957E-3</v>
      </c>
      <c r="AW95" s="135"/>
      <c r="AX95" s="135"/>
      <c r="AY95" s="135"/>
      <c r="AZ95" s="135"/>
      <c r="BA95" s="135"/>
      <c r="BB95" s="135"/>
      <c r="BC95" s="135"/>
      <c r="BD95" s="135"/>
      <c r="BE95" s="135"/>
    </row>
    <row r="96" spans="1:69" outlineLevel="1" x14ac:dyDescent="0.3">
      <c r="A96" s="82">
        <v>4</v>
      </c>
      <c r="B96" s="72" t="s">
        <v>86</v>
      </c>
      <c r="C96" s="72"/>
      <c r="D96" s="85"/>
      <c r="E96" s="84"/>
      <c r="F96" s="84"/>
      <c r="G96" s="84"/>
      <c r="H96" s="53">
        <v>6.9144256529167988E-3</v>
      </c>
      <c r="I96" s="54">
        <f>AZ12</f>
        <v>46213</v>
      </c>
      <c r="J96" s="54">
        <f>BB12</f>
        <v>46227</v>
      </c>
      <c r="K96" s="176">
        <f t="shared" si="27"/>
        <v>14</v>
      </c>
      <c r="L96" s="180"/>
      <c r="M96" s="56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5"/>
      <c r="AO96" s="135"/>
      <c r="AP96" s="135"/>
      <c r="AQ96" s="135"/>
      <c r="AR96" s="135"/>
      <c r="AS96" s="135"/>
      <c r="AT96" s="135"/>
      <c r="AU96" s="135"/>
      <c r="AV96" s="135"/>
      <c r="AW96" s="135"/>
      <c r="AX96" s="135"/>
      <c r="AY96" s="135"/>
      <c r="AZ96" s="135"/>
      <c r="BA96" s="135">
        <f>$H$96/2</f>
        <v>3.4572128264583994E-3</v>
      </c>
      <c r="BB96" s="135">
        <f>$H$96/2</f>
        <v>3.4572128264583994E-3</v>
      </c>
      <c r="BC96" s="135"/>
      <c r="BD96" s="135"/>
      <c r="BE96" s="135"/>
    </row>
    <row r="97" spans="1:69" outlineLevel="1" x14ac:dyDescent="0.3">
      <c r="A97" s="82">
        <v>5</v>
      </c>
      <c r="B97" s="50" t="s">
        <v>88</v>
      </c>
      <c r="C97" s="72"/>
      <c r="D97" s="51"/>
      <c r="E97" s="51"/>
      <c r="F97" s="52"/>
      <c r="G97" s="52"/>
      <c r="H97" s="53">
        <v>1.1994411846896491E-3</v>
      </c>
      <c r="I97" s="54">
        <f>AT12</f>
        <v>46171</v>
      </c>
      <c r="J97" s="54">
        <f>AZ12</f>
        <v>46213</v>
      </c>
      <c r="K97" s="176">
        <f t="shared" si="27"/>
        <v>42</v>
      </c>
      <c r="L97" s="180"/>
      <c r="M97" s="56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5"/>
      <c r="AO97" s="135"/>
      <c r="AP97" s="135"/>
      <c r="AQ97" s="135"/>
      <c r="AR97" s="135"/>
      <c r="AS97" s="135"/>
      <c r="AT97" s="135">
        <f>$H$97/7</f>
        <v>1.7134874066994987E-4</v>
      </c>
      <c r="AU97" s="135">
        <f t="shared" ref="AU97:AZ97" si="31">$H$97/7</f>
        <v>1.7134874066994987E-4</v>
      </c>
      <c r="AV97" s="135">
        <f t="shared" si="31"/>
        <v>1.7134874066994987E-4</v>
      </c>
      <c r="AW97" s="135">
        <f t="shared" si="31"/>
        <v>1.7134874066994987E-4</v>
      </c>
      <c r="AX97" s="135">
        <f t="shared" si="31"/>
        <v>1.7134874066994987E-4</v>
      </c>
      <c r="AY97" s="135">
        <f t="shared" si="31"/>
        <v>1.7134874066994987E-4</v>
      </c>
      <c r="AZ97" s="135">
        <f t="shared" si="31"/>
        <v>1.7134874066994987E-4</v>
      </c>
      <c r="BA97" s="135"/>
      <c r="BB97" s="135"/>
      <c r="BC97" s="135"/>
      <c r="BD97" s="135"/>
      <c r="BE97" s="135"/>
    </row>
    <row r="98" spans="1:69" outlineLevel="1" x14ac:dyDescent="0.3">
      <c r="A98" s="82">
        <v>6</v>
      </c>
      <c r="B98" s="50" t="s">
        <v>87</v>
      </c>
      <c r="C98" s="72"/>
      <c r="D98" s="51"/>
      <c r="E98" s="51"/>
      <c r="F98" s="52"/>
      <c r="G98" s="52"/>
      <c r="H98" s="53">
        <v>9.8368960173158045E-3</v>
      </c>
      <c r="I98" s="54">
        <f>AS12</f>
        <v>46164</v>
      </c>
      <c r="J98" s="54">
        <f>AV12</f>
        <v>46185</v>
      </c>
      <c r="K98" s="176">
        <f t="shared" si="27"/>
        <v>21</v>
      </c>
      <c r="L98" s="180"/>
      <c r="M98" s="56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5"/>
      <c r="AO98" s="135"/>
      <c r="AP98" s="135"/>
      <c r="AQ98" s="135"/>
      <c r="AR98" s="135"/>
      <c r="AS98" s="135"/>
      <c r="AT98" s="135">
        <f>$H$98/3</f>
        <v>3.2789653391052682E-3</v>
      </c>
      <c r="AU98" s="135">
        <f t="shared" ref="AU98:AV98" si="32">$H$98/3</f>
        <v>3.2789653391052682E-3</v>
      </c>
      <c r="AV98" s="135">
        <f t="shared" si="32"/>
        <v>3.2789653391052682E-3</v>
      </c>
      <c r="AW98" s="135"/>
      <c r="AX98" s="135"/>
      <c r="AY98" s="135"/>
      <c r="AZ98" s="135"/>
      <c r="BA98" s="135"/>
      <c r="BB98" s="135"/>
      <c r="BC98" s="135"/>
      <c r="BD98" s="135"/>
      <c r="BE98" s="135"/>
    </row>
    <row r="99" spans="1:69" ht="4.95" customHeight="1" outlineLevel="1" x14ac:dyDescent="0.3">
      <c r="A99" s="82"/>
      <c r="B99" s="72"/>
      <c r="C99" s="72"/>
      <c r="D99" s="51"/>
      <c r="E99" s="51"/>
      <c r="F99" s="52"/>
      <c r="G99" s="52"/>
      <c r="H99" s="53"/>
      <c r="I99" s="54"/>
      <c r="J99" s="54"/>
      <c r="K99" s="55"/>
      <c r="L99" s="180"/>
      <c r="M99" s="56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  <c r="BA99" s="135"/>
      <c r="BB99" s="135"/>
      <c r="BC99" s="135"/>
      <c r="BD99" s="135"/>
      <c r="BE99" s="135"/>
    </row>
    <row r="100" spans="1:69" s="67" customFormat="1" ht="15" customHeight="1" outlineLevel="1" x14ac:dyDescent="0.3">
      <c r="A100" s="40" t="s">
        <v>89</v>
      </c>
      <c r="B100" s="41" t="s">
        <v>90</v>
      </c>
      <c r="C100" s="42"/>
      <c r="D100" s="42"/>
      <c r="E100" s="42"/>
      <c r="F100" s="42"/>
      <c r="G100" s="42"/>
      <c r="H100" s="63"/>
      <c r="I100" s="64"/>
      <c r="J100" s="64"/>
      <c r="K100" s="45"/>
      <c r="L100" s="181"/>
      <c r="M100" s="127"/>
      <c r="N100" s="138"/>
      <c r="O100" s="138"/>
      <c r="P100" s="138"/>
      <c r="Q100" s="138"/>
      <c r="R100" s="139"/>
      <c r="S100" s="139"/>
      <c r="T100" s="139"/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  <c r="AE100" s="138"/>
      <c r="AF100" s="138"/>
      <c r="AG100" s="138"/>
      <c r="AH100" s="138"/>
      <c r="AI100" s="138"/>
      <c r="AJ100" s="138"/>
      <c r="AK100" s="138"/>
      <c r="AL100" s="138"/>
      <c r="AM100" s="138"/>
      <c r="AN100" s="136"/>
      <c r="AO100" s="136"/>
      <c r="AP100" s="136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6"/>
      <c r="BE100" s="136"/>
      <c r="BF100" s="66"/>
      <c r="BG100" s="66"/>
      <c r="BH100" s="66"/>
      <c r="BI100" s="66"/>
      <c r="BJ100" s="66"/>
      <c r="BK100" s="66"/>
      <c r="BL100" s="66"/>
      <c r="BM100" s="66"/>
      <c r="BN100" s="66"/>
      <c r="BO100" s="66"/>
      <c r="BP100" s="66"/>
      <c r="BQ100" s="66"/>
    </row>
    <row r="101" spans="1:69" outlineLevel="1" x14ac:dyDescent="0.3">
      <c r="A101" s="57">
        <v>1</v>
      </c>
      <c r="B101" s="50" t="s">
        <v>91</v>
      </c>
      <c r="C101" s="72"/>
      <c r="D101" s="51"/>
      <c r="E101" s="51"/>
      <c r="F101" s="52"/>
      <c r="G101" s="52"/>
      <c r="H101" s="53">
        <v>1.2010804972602339E-2</v>
      </c>
      <c r="I101" s="54">
        <f>BA12</f>
        <v>46220</v>
      </c>
      <c r="J101" s="54">
        <f>BC12</f>
        <v>46234</v>
      </c>
      <c r="K101" s="176">
        <f t="shared" ref="K101:K103" si="33">J101-I101</f>
        <v>14</v>
      </c>
      <c r="L101" s="180"/>
      <c r="M101" s="56"/>
      <c r="N101" s="137"/>
      <c r="O101" s="141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  <c r="BA101" s="135"/>
      <c r="BB101" s="135">
        <f>$H$101/2</f>
        <v>6.0054024863011694E-3</v>
      </c>
      <c r="BC101" s="135">
        <f>$H$101/2</f>
        <v>6.0054024863011694E-3</v>
      </c>
      <c r="BD101" s="135"/>
      <c r="BE101" s="135"/>
    </row>
    <row r="102" spans="1:69" outlineLevel="1" x14ac:dyDescent="0.3">
      <c r="A102" s="57">
        <v>2</v>
      </c>
      <c r="B102" s="50" t="s">
        <v>92</v>
      </c>
      <c r="C102" s="72"/>
      <c r="D102" s="51"/>
      <c r="E102" s="51"/>
      <c r="F102" s="52"/>
      <c r="G102" s="52"/>
      <c r="H102" s="53">
        <v>2.1018908702054095E-2</v>
      </c>
      <c r="I102" s="54">
        <f>BA12</f>
        <v>46220</v>
      </c>
      <c r="J102" s="54">
        <f>BC12</f>
        <v>46234</v>
      </c>
      <c r="K102" s="176">
        <f t="shared" si="33"/>
        <v>14</v>
      </c>
      <c r="L102" s="180"/>
      <c r="M102" s="56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  <c r="BA102" s="135"/>
      <c r="BB102" s="135">
        <f>$H$102/2</f>
        <v>1.0509454351027047E-2</v>
      </c>
      <c r="BC102" s="135">
        <f>$H$102/2</f>
        <v>1.0509454351027047E-2</v>
      </c>
      <c r="BD102" s="135"/>
      <c r="BE102" s="135"/>
    </row>
    <row r="103" spans="1:69" outlineLevel="1" x14ac:dyDescent="0.3">
      <c r="A103" s="57">
        <v>3</v>
      </c>
      <c r="B103" s="50" t="s">
        <v>93</v>
      </c>
      <c r="C103" s="72"/>
      <c r="D103" s="51"/>
      <c r="E103" s="51"/>
      <c r="F103" s="52"/>
      <c r="G103" s="52"/>
      <c r="H103" s="53">
        <v>1.2010804972602339E-2</v>
      </c>
      <c r="I103" s="54">
        <f>BA12</f>
        <v>46220</v>
      </c>
      <c r="J103" s="54">
        <f>BC12</f>
        <v>46234</v>
      </c>
      <c r="K103" s="176">
        <f t="shared" si="33"/>
        <v>14</v>
      </c>
      <c r="L103" s="180"/>
      <c r="M103" s="56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  <c r="BA103" s="135"/>
      <c r="BB103" s="135">
        <f>$H$103/2</f>
        <v>6.0054024863011694E-3</v>
      </c>
      <c r="BC103" s="135">
        <f>$H$103/2</f>
        <v>6.0054024863011694E-3</v>
      </c>
      <c r="BD103" s="135"/>
      <c r="BE103" s="135"/>
    </row>
    <row r="104" spans="1:69" ht="4.95" customHeight="1" outlineLevel="1" x14ac:dyDescent="0.3">
      <c r="A104" s="57"/>
      <c r="B104" s="50"/>
      <c r="C104" s="72"/>
      <c r="D104" s="51"/>
      <c r="E104" s="51"/>
      <c r="F104" s="52"/>
      <c r="G104" s="52"/>
      <c r="H104" s="53"/>
      <c r="I104" s="54"/>
      <c r="J104" s="54"/>
      <c r="K104" s="55"/>
      <c r="L104" s="180"/>
      <c r="M104" s="56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  <c r="BA104" s="135"/>
      <c r="BB104" s="135"/>
      <c r="BC104" s="135"/>
      <c r="BD104" s="135"/>
      <c r="BE104" s="135"/>
    </row>
    <row r="105" spans="1:69" s="67" customFormat="1" ht="15" customHeight="1" outlineLevel="1" x14ac:dyDescent="0.3">
      <c r="A105" s="40" t="s">
        <v>94</v>
      </c>
      <c r="B105" s="41" t="s">
        <v>95</v>
      </c>
      <c r="C105" s="42"/>
      <c r="D105" s="42"/>
      <c r="E105" s="42"/>
      <c r="F105" s="42"/>
      <c r="G105" s="42"/>
      <c r="H105" s="63"/>
      <c r="I105" s="64"/>
      <c r="J105" s="64"/>
      <c r="K105" s="45"/>
      <c r="L105" s="181"/>
      <c r="M105" s="127"/>
      <c r="N105" s="138"/>
      <c r="O105" s="138"/>
      <c r="P105" s="138"/>
      <c r="Q105" s="138"/>
      <c r="R105" s="139"/>
      <c r="S105" s="139"/>
      <c r="T105" s="139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  <c r="AE105" s="138"/>
      <c r="AF105" s="138"/>
      <c r="AG105" s="138"/>
      <c r="AH105" s="138"/>
      <c r="AI105" s="138"/>
      <c r="AJ105" s="138"/>
      <c r="AK105" s="138"/>
      <c r="AL105" s="138"/>
      <c r="AM105" s="138"/>
      <c r="AN105" s="136"/>
      <c r="AO105" s="136"/>
      <c r="AP105" s="136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136"/>
      <c r="BD105" s="136"/>
      <c r="BE105" s="136"/>
      <c r="BF105" s="66"/>
      <c r="BG105" s="66"/>
      <c r="BH105" s="66"/>
      <c r="BI105" s="66"/>
      <c r="BJ105" s="66"/>
      <c r="BK105" s="66"/>
      <c r="BL105" s="66"/>
      <c r="BM105" s="66"/>
      <c r="BN105" s="66"/>
      <c r="BO105" s="66"/>
      <c r="BP105" s="66"/>
      <c r="BQ105" s="66"/>
    </row>
    <row r="106" spans="1:69" outlineLevel="1" x14ac:dyDescent="0.3">
      <c r="A106" s="57">
        <v>1</v>
      </c>
      <c r="B106" s="50" t="s">
        <v>96</v>
      </c>
      <c r="C106" s="72"/>
      <c r="D106" s="51"/>
      <c r="E106" s="51"/>
      <c r="F106" s="52"/>
      <c r="G106" s="52"/>
      <c r="H106" s="53">
        <v>4.1986489066749594E-2</v>
      </c>
      <c r="I106" s="54">
        <f>BA12</f>
        <v>46220</v>
      </c>
      <c r="J106" s="54">
        <f>BD12</f>
        <v>46241</v>
      </c>
      <c r="K106" s="176">
        <f t="shared" ref="K106:K110" si="34">J106-I106</f>
        <v>21</v>
      </c>
      <c r="L106" s="180"/>
      <c r="M106" s="56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  <c r="BA106" s="135"/>
      <c r="BB106" s="135">
        <f>$H$106/3</f>
        <v>1.3995496355583198E-2</v>
      </c>
      <c r="BC106" s="135">
        <f t="shared" ref="BC106:BD106" si="35">$H$106/3</f>
        <v>1.3995496355583198E-2</v>
      </c>
      <c r="BD106" s="135">
        <f t="shared" si="35"/>
        <v>1.3995496355583198E-2</v>
      </c>
      <c r="BE106" s="135"/>
    </row>
    <row r="107" spans="1:69" s="71" customFormat="1" outlineLevel="1" x14ac:dyDescent="0.3">
      <c r="A107" s="82">
        <v>2</v>
      </c>
      <c r="B107" s="83" t="s">
        <v>97</v>
      </c>
      <c r="C107" s="84"/>
      <c r="D107" s="84"/>
      <c r="E107" s="84"/>
      <c r="F107" s="84"/>
      <c r="G107" s="84"/>
      <c r="H107" s="53">
        <v>1.5870199408798517E-2</v>
      </c>
      <c r="I107" s="54">
        <f>BA12</f>
        <v>46220</v>
      </c>
      <c r="J107" s="54">
        <f>BD12</f>
        <v>46241</v>
      </c>
      <c r="K107" s="176">
        <f t="shared" si="34"/>
        <v>21</v>
      </c>
      <c r="L107" s="180"/>
      <c r="M107" s="56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  <c r="BA107" s="135"/>
      <c r="BB107" s="135">
        <f>$H$107/3</f>
        <v>5.2900664695995055E-3</v>
      </c>
      <c r="BC107" s="135">
        <f t="shared" ref="BC107:BD107" si="36">$H$107/3</f>
        <v>5.2900664695995055E-3</v>
      </c>
      <c r="BD107" s="135">
        <f t="shared" si="36"/>
        <v>5.2900664695995055E-3</v>
      </c>
      <c r="BE107" s="135"/>
      <c r="BF107" s="70"/>
      <c r="BG107" s="70"/>
      <c r="BH107" s="70"/>
      <c r="BI107" s="70"/>
      <c r="BJ107" s="70"/>
      <c r="BK107" s="70"/>
      <c r="BL107" s="70"/>
      <c r="BM107" s="70"/>
      <c r="BN107" s="70"/>
      <c r="BO107" s="70"/>
      <c r="BP107" s="70"/>
      <c r="BQ107" s="70"/>
    </row>
    <row r="108" spans="1:69" outlineLevel="1" x14ac:dyDescent="0.3">
      <c r="A108" s="82">
        <v>3</v>
      </c>
      <c r="B108" s="83" t="s">
        <v>98</v>
      </c>
      <c r="C108" s="84"/>
      <c r="D108" s="84"/>
      <c r="E108" s="84"/>
      <c r="F108" s="84"/>
      <c r="G108" s="84"/>
      <c r="H108" s="53">
        <v>1.2022633992418598E-2</v>
      </c>
      <c r="I108" s="54">
        <f>BA12</f>
        <v>46220</v>
      </c>
      <c r="J108" s="54">
        <f>BD12</f>
        <v>46241</v>
      </c>
      <c r="K108" s="176">
        <f t="shared" si="34"/>
        <v>21</v>
      </c>
      <c r="L108" s="180"/>
      <c r="M108" s="68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  <c r="BA108" s="135"/>
      <c r="BB108" s="135">
        <f>$H$108/3</f>
        <v>4.0075446641395325E-3</v>
      </c>
      <c r="BC108" s="135">
        <f t="shared" ref="BC108:BD108" si="37">$H$108/3</f>
        <v>4.0075446641395325E-3</v>
      </c>
      <c r="BD108" s="135">
        <f t="shared" si="37"/>
        <v>4.0075446641395325E-3</v>
      </c>
      <c r="BE108" s="135"/>
    </row>
    <row r="109" spans="1:69" s="71" customFormat="1" outlineLevel="1" x14ac:dyDescent="0.3">
      <c r="A109" s="82">
        <v>4</v>
      </c>
      <c r="B109" s="83" t="s">
        <v>99</v>
      </c>
      <c r="C109" s="84"/>
      <c r="D109" s="84"/>
      <c r="E109" s="84"/>
      <c r="F109" s="84"/>
      <c r="G109" s="84"/>
      <c r="H109" s="53">
        <v>8.110507058377627E-4</v>
      </c>
      <c r="I109" s="54">
        <f>BA12</f>
        <v>46220</v>
      </c>
      <c r="J109" s="54">
        <f>BD12</f>
        <v>46241</v>
      </c>
      <c r="K109" s="176">
        <f t="shared" si="34"/>
        <v>21</v>
      </c>
      <c r="L109" s="180"/>
      <c r="M109" s="56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  <c r="AJ109" s="137"/>
      <c r="AK109" s="137"/>
      <c r="AL109" s="137"/>
      <c r="AM109" s="137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  <c r="BA109" s="135"/>
      <c r="BB109" s="135">
        <f>$H$109/3</f>
        <v>2.7035023527925423E-4</v>
      </c>
      <c r="BC109" s="135">
        <f t="shared" ref="BC109:BD109" si="38">$H$109/3</f>
        <v>2.7035023527925423E-4</v>
      </c>
      <c r="BD109" s="135">
        <f t="shared" si="38"/>
        <v>2.7035023527925423E-4</v>
      </c>
      <c r="BE109" s="135"/>
      <c r="BF109" s="70"/>
      <c r="BG109" s="70"/>
      <c r="BH109" s="70"/>
      <c r="BI109" s="70"/>
      <c r="BJ109" s="70"/>
      <c r="BK109" s="70"/>
      <c r="BL109" s="70"/>
      <c r="BM109" s="70"/>
      <c r="BN109" s="70"/>
      <c r="BO109" s="70"/>
      <c r="BP109" s="70"/>
      <c r="BQ109" s="70"/>
    </row>
    <row r="110" spans="1:69" s="71" customFormat="1" outlineLevel="1" x14ac:dyDescent="0.3">
      <c r="A110" s="82">
        <v>5</v>
      </c>
      <c r="B110" s="50" t="s">
        <v>100</v>
      </c>
      <c r="C110" s="72"/>
      <c r="D110" s="85"/>
      <c r="E110" s="84"/>
      <c r="F110" s="84"/>
      <c r="G110" s="84"/>
      <c r="H110" s="53">
        <v>2.9196481498467925E-3</v>
      </c>
      <c r="I110" s="54">
        <f>BD12</f>
        <v>46241</v>
      </c>
      <c r="J110" s="54">
        <f>BE12</f>
        <v>46248</v>
      </c>
      <c r="K110" s="176">
        <f t="shared" si="34"/>
        <v>7</v>
      </c>
      <c r="L110" s="180"/>
      <c r="M110" s="56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5"/>
      <c r="AO110" s="135"/>
      <c r="AP110" s="135"/>
      <c r="AQ110" s="135"/>
      <c r="AR110" s="135"/>
      <c r="AS110" s="135"/>
      <c r="AT110" s="135"/>
      <c r="AU110" s="135"/>
      <c r="AV110" s="135"/>
      <c r="AW110" s="135"/>
      <c r="AX110" s="135"/>
      <c r="AY110" s="135"/>
      <c r="AZ110" s="135"/>
      <c r="BA110" s="135"/>
      <c r="BB110" s="135"/>
      <c r="BC110" s="135"/>
      <c r="BD110" s="135"/>
      <c r="BE110" s="135">
        <f>H110</f>
        <v>2.9196481498467925E-3</v>
      </c>
      <c r="BF110" s="70"/>
      <c r="BG110" s="70"/>
      <c r="BH110" s="70"/>
      <c r="BI110" s="70"/>
      <c r="BJ110" s="70"/>
      <c r="BK110" s="70"/>
      <c r="BL110" s="70"/>
      <c r="BM110" s="70"/>
      <c r="BN110" s="70"/>
      <c r="BO110" s="70"/>
      <c r="BP110" s="70"/>
      <c r="BQ110" s="70"/>
    </row>
    <row r="111" spans="1:69" s="71" customFormat="1" ht="4.95" customHeight="1" outlineLevel="1" x14ac:dyDescent="0.3">
      <c r="A111" s="82"/>
      <c r="B111" s="50"/>
      <c r="C111" s="72"/>
      <c r="D111" s="84"/>
      <c r="E111" s="84"/>
      <c r="F111" s="84"/>
      <c r="G111" s="84"/>
      <c r="H111" s="53"/>
      <c r="I111" s="54"/>
      <c r="J111" s="54"/>
      <c r="K111" s="55"/>
      <c r="L111" s="180"/>
      <c r="M111" s="56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5"/>
      <c r="AO111" s="135"/>
      <c r="AP111" s="135"/>
      <c r="AQ111" s="135"/>
      <c r="AR111" s="135"/>
      <c r="AS111" s="135"/>
      <c r="AT111" s="135"/>
      <c r="AU111" s="135"/>
      <c r="AV111" s="135"/>
      <c r="AW111" s="135"/>
      <c r="AX111" s="135"/>
      <c r="AY111" s="135"/>
      <c r="AZ111" s="135"/>
      <c r="BA111" s="135"/>
      <c r="BB111" s="135"/>
      <c r="BC111" s="135"/>
      <c r="BD111" s="135"/>
      <c r="BE111" s="135"/>
      <c r="BF111" s="70"/>
      <c r="BG111" s="70"/>
      <c r="BH111" s="70"/>
      <c r="BI111" s="70"/>
      <c r="BJ111" s="70"/>
      <c r="BK111" s="70"/>
      <c r="BL111" s="70"/>
      <c r="BM111" s="70"/>
      <c r="BN111" s="70"/>
      <c r="BO111" s="70"/>
      <c r="BP111" s="70"/>
      <c r="BQ111" s="70"/>
    </row>
    <row r="112" spans="1:69" s="67" customFormat="1" ht="15" customHeight="1" outlineLevel="1" x14ac:dyDescent="0.3">
      <c r="A112" s="40" t="s">
        <v>101</v>
      </c>
      <c r="B112" s="41" t="s">
        <v>102</v>
      </c>
      <c r="C112" s="42"/>
      <c r="D112" s="42"/>
      <c r="E112" s="42"/>
      <c r="F112" s="42"/>
      <c r="G112" s="42"/>
      <c r="H112" s="63"/>
      <c r="I112" s="64"/>
      <c r="J112" s="64"/>
      <c r="K112" s="45"/>
      <c r="L112" s="181"/>
      <c r="M112" s="127"/>
      <c r="N112" s="138"/>
      <c r="O112" s="138"/>
      <c r="P112" s="138"/>
      <c r="Q112" s="138"/>
      <c r="R112" s="139"/>
      <c r="S112" s="139"/>
      <c r="T112" s="139"/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  <c r="AE112" s="138"/>
      <c r="AF112" s="138"/>
      <c r="AG112" s="138"/>
      <c r="AH112" s="138"/>
      <c r="AI112" s="138"/>
      <c r="AJ112" s="138"/>
      <c r="AK112" s="138"/>
      <c r="AL112" s="138"/>
      <c r="AM112" s="138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6"/>
      <c r="BE112" s="136"/>
      <c r="BF112" s="66"/>
      <c r="BG112" s="66"/>
      <c r="BH112" s="66"/>
      <c r="BI112" s="66"/>
      <c r="BJ112" s="66"/>
      <c r="BK112" s="66"/>
      <c r="BL112" s="66"/>
      <c r="BM112" s="66"/>
      <c r="BN112" s="66"/>
      <c r="BO112" s="66"/>
      <c r="BP112" s="66"/>
      <c r="BQ112" s="66"/>
    </row>
    <row r="113" spans="1:69" s="71" customFormat="1" outlineLevel="1" x14ac:dyDescent="0.3">
      <c r="A113" s="82">
        <v>1</v>
      </c>
      <c r="B113" s="72" t="s">
        <v>103</v>
      </c>
      <c r="C113" s="72"/>
      <c r="D113" s="85"/>
      <c r="E113" s="84"/>
      <c r="F113" s="84"/>
      <c r="G113" s="84"/>
      <c r="H113" s="53">
        <v>2.8002851757995082E-2</v>
      </c>
      <c r="I113" s="54">
        <f>AU12</f>
        <v>46178</v>
      </c>
      <c r="J113" s="54">
        <f>AY12</f>
        <v>46206</v>
      </c>
      <c r="K113" s="55">
        <f t="shared" ref="K113:K121" si="39">J113-I113</f>
        <v>28</v>
      </c>
      <c r="L113" s="180"/>
      <c r="M113" s="56"/>
      <c r="N113" s="137"/>
      <c r="O113" s="137"/>
      <c r="P113" s="137"/>
      <c r="Q113" s="137"/>
      <c r="R113" s="137"/>
      <c r="S113" s="137">
        <f>0.03%</f>
        <v>2.9999999999999997E-4</v>
      </c>
      <c r="T113" s="137">
        <f>0.03%</f>
        <v>2.9999999999999997E-4</v>
      </c>
      <c r="U113" s="137">
        <f>(H113-SUM(S113:T113))/11</f>
        <v>2.4911683416359164E-3</v>
      </c>
      <c r="V113" s="137">
        <f>U113</f>
        <v>2.4911683416359164E-3</v>
      </c>
      <c r="W113" s="137">
        <f t="shared" ref="W113:AE113" si="40">V113</f>
        <v>2.4911683416359164E-3</v>
      </c>
      <c r="X113" s="137">
        <f t="shared" si="40"/>
        <v>2.4911683416359164E-3</v>
      </c>
      <c r="Y113" s="137">
        <f t="shared" si="40"/>
        <v>2.4911683416359164E-3</v>
      </c>
      <c r="Z113" s="137">
        <f t="shared" si="40"/>
        <v>2.4911683416359164E-3</v>
      </c>
      <c r="AA113" s="137">
        <f t="shared" si="40"/>
        <v>2.4911683416359164E-3</v>
      </c>
      <c r="AB113" s="137">
        <f t="shared" si="40"/>
        <v>2.4911683416359164E-3</v>
      </c>
      <c r="AC113" s="137">
        <f t="shared" si="40"/>
        <v>2.4911683416359164E-3</v>
      </c>
      <c r="AD113" s="137">
        <f t="shared" si="40"/>
        <v>2.4911683416359164E-3</v>
      </c>
      <c r="AE113" s="137">
        <f t="shared" si="40"/>
        <v>2.4911683416359164E-3</v>
      </c>
      <c r="AF113" s="137"/>
      <c r="AG113" s="137"/>
      <c r="AH113" s="137"/>
      <c r="AI113" s="137"/>
      <c r="AJ113" s="137"/>
      <c r="AK113" s="137"/>
      <c r="AL113" s="137"/>
      <c r="AM113" s="137"/>
      <c r="AN113" s="135"/>
      <c r="AO113" s="135"/>
      <c r="AP113" s="135"/>
      <c r="AQ113" s="135"/>
      <c r="AR113" s="135"/>
      <c r="AS113" s="135"/>
      <c r="AT113" s="135"/>
      <c r="AU113" s="135"/>
      <c r="AV113" s="135"/>
      <c r="AW113" s="135"/>
      <c r="AX113" s="135"/>
      <c r="AY113" s="135"/>
      <c r="AZ113" s="135"/>
      <c r="BA113" s="135"/>
      <c r="BB113" s="135"/>
      <c r="BC113" s="135"/>
      <c r="BD113" s="135"/>
      <c r="BE113" s="135"/>
      <c r="BF113" s="70"/>
      <c r="BG113" s="70"/>
      <c r="BH113" s="70"/>
      <c r="BI113" s="70"/>
      <c r="BJ113" s="70"/>
      <c r="BK113" s="70"/>
      <c r="BL113" s="70"/>
      <c r="BM113" s="70"/>
      <c r="BN113" s="70"/>
      <c r="BO113" s="70"/>
      <c r="BP113" s="70"/>
      <c r="BQ113" s="70"/>
    </row>
    <row r="114" spans="1:69" s="71" customFormat="1" outlineLevel="1" x14ac:dyDescent="0.3">
      <c r="A114" s="82">
        <v>2</v>
      </c>
      <c r="B114" s="50" t="s">
        <v>104</v>
      </c>
      <c r="C114" s="87"/>
      <c r="D114" s="85"/>
      <c r="E114" s="84"/>
      <c r="F114" s="84"/>
      <c r="G114" s="84"/>
      <c r="H114" s="53">
        <v>7.8638310935484242E-3</v>
      </c>
      <c r="I114" s="54">
        <f>AU12</f>
        <v>46178</v>
      </c>
      <c r="J114" s="54">
        <f>AY12</f>
        <v>46206</v>
      </c>
      <c r="K114" s="176">
        <f t="shared" si="39"/>
        <v>28</v>
      </c>
      <c r="L114" s="180"/>
      <c r="M114" s="56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135"/>
      <c r="AO114" s="135"/>
      <c r="AP114" s="135"/>
      <c r="AQ114" s="135"/>
      <c r="AR114" s="135"/>
      <c r="AS114" s="135"/>
      <c r="AT114" s="135"/>
      <c r="AU114" s="135"/>
      <c r="AV114" s="135">
        <f>$H$114/4</f>
        <v>1.965957773387106E-3</v>
      </c>
      <c r="AW114" s="135">
        <f t="shared" ref="AW114:AY114" si="41">$H$114/4</f>
        <v>1.965957773387106E-3</v>
      </c>
      <c r="AX114" s="135">
        <f t="shared" si="41"/>
        <v>1.965957773387106E-3</v>
      </c>
      <c r="AY114" s="135">
        <f t="shared" si="41"/>
        <v>1.965957773387106E-3</v>
      </c>
      <c r="AZ114" s="135"/>
      <c r="BA114" s="135"/>
      <c r="BB114" s="135"/>
      <c r="BC114" s="135"/>
      <c r="BD114" s="135"/>
      <c r="BE114" s="135"/>
      <c r="BF114" s="70"/>
      <c r="BG114" s="70"/>
      <c r="BH114" s="70"/>
      <c r="BI114" s="70"/>
      <c r="BJ114" s="70"/>
      <c r="BK114" s="70"/>
      <c r="BL114" s="70"/>
      <c r="BM114" s="70"/>
      <c r="BN114" s="70"/>
      <c r="BO114" s="70"/>
      <c r="BP114" s="70"/>
      <c r="BQ114" s="70"/>
    </row>
    <row r="115" spans="1:69" s="71" customFormat="1" outlineLevel="1" x14ac:dyDescent="0.3">
      <c r="A115" s="82">
        <v>3</v>
      </c>
      <c r="B115" s="72" t="s">
        <v>105</v>
      </c>
      <c r="C115" s="72"/>
      <c r="D115" s="51"/>
      <c r="E115" s="51"/>
      <c r="F115" s="52"/>
      <c r="G115" s="52"/>
      <c r="H115" s="53">
        <v>2.7592389801924292E-3</v>
      </c>
      <c r="I115" s="54">
        <f>AU12</f>
        <v>46178</v>
      </c>
      <c r="J115" s="54">
        <f>AY12</f>
        <v>46206</v>
      </c>
      <c r="K115" s="176">
        <f t="shared" si="39"/>
        <v>28</v>
      </c>
      <c r="L115" s="180"/>
      <c r="M115" s="56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5"/>
      <c r="AO115" s="135"/>
      <c r="AP115" s="135"/>
      <c r="AQ115" s="135"/>
      <c r="AR115" s="135"/>
      <c r="AS115" s="135"/>
      <c r="AT115" s="135"/>
      <c r="AU115" s="135"/>
      <c r="AV115" s="135">
        <f>$H$115/4</f>
        <v>6.898097450481073E-4</v>
      </c>
      <c r="AW115" s="135">
        <f t="shared" ref="AW115:AY116" si="42">$H$115/4</f>
        <v>6.898097450481073E-4</v>
      </c>
      <c r="AX115" s="135">
        <f t="shared" si="42"/>
        <v>6.898097450481073E-4</v>
      </c>
      <c r="AY115" s="135">
        <f t="shared" si="42"/>
        <v>6.898097450481073E-4</v>
      </c>
      <c r="AZ115" s="135"/>
      <c r="BA115" s="135"/>
      <c r="BB115" s="135"/>
      <c r="BC115" s="135"/>
      <c r="BD115" s="135"/>
      <c r="BE115" s="135"/>
      <c r="BF115" s="70"/>
      <c r="BG115" s="70"/>
      <c r="BH115" s="70"/>
      <c r="BI115" s="70"/>
      <c r="BJ115" s="70"/>
      <c r="BK115" s="70"/>
      <c r="BL115" s="70"/>
      <c r="BM115" s="70"/>
      <c r="BN115" s="70"/>
      <c r="BO115" s="70"/>
      <c r="BP115" s="70"/>
      <c r="BQ115" s="70"/>
    </row>
    <row r="116" spans="1:69" s="71" customFormat="1" outlineLevel="1" x14ac:dyDescent="0.3">
      <c r="A116" s="82">
        <v>4</v>
      </c>
      <c r="B116" s="72" t="s">
        <v>106</v>
      </c>
      <c r="C116" s="72"/>
      <c r="D116" s="51"/>
      <c r="E116" s="51"/>
      <c r="F116" s="52"/>
      <c r="G116" s="52"/>
      <c r="H116" s="53">
        <v>1.8016207458903508E-4</v>
      </c>
      <c r="I116" s="54">
        <f>AU12</f>
        <v>46178</v>
      </c>
      <c r="J116" s="54">
        <f>AY12</f>
        <v>46206</v>
      </c>
      <c r="K116" s="176">
        <f t="shared" si="39"/>
        <v>28</v>
      </c>
      <c r="L116" s="180"/>
      <c r="M116" s="56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5"/>
      <c r="AO116" s="135"/>
      <c r="AP116" s="135"/>
      <c r="AQ116" s="135"/>
      <c r="AR116" s="135"/>
      <c r="AS116" s="135"/>
      <c r="AT116" s="135"/>
      <c r="AU116" s="135"/>
      <c r="AV116" s="135">
        <f>$H$116/4</f>
        <v>4.5040518647258769E-5</v>
      </c>
      <c r="AW116" s="135">
        <f t="shared" ref="AW116:AY116" si="43">$H$116/4</f>
        <v>4.5040518647258769E-5</v>
      </c>
      <c r="AX116" s="135">
        <f t="shared" si="43"/>
        <v>4.5040518647258769E-5</v>
      </c>
      <c r="AY116" s="135">
        <f t="shared" si="43"/>
        <v>4.5040518647258769E-5</v>
      </c>
      <c r="AZ116" s="135"/>
      <c r="BA116" s="135"/>
      <c r="BB116" s="135"/>
      <c r="BC116" s="135"/>
      <c r="BD116" s="135"/>
      <c r="BE116" s="135"/>
      <c r="BF116" s="70"/>
      <c r="BG116" s="70"/>
      <c r="BH116" s="70"/>
      <c r="BI116" s="70"/>
      <c r="BJ116" s="70"/>
      <c r="BK116" s="70"/>
      <c r="BL116" s="70"/>
      <c r="BM116" s="70"/>
      <c r="BN116" s="70"/>
      <c r="BO116" s="70"/>
      <c r="BP116" s="70"/>
      <c r="BQ116" s="70"/>
    </row>
    <row r="117" spans="1:69" s="71" customFormat="1" outlineLevel="1" x14ac:dyDescent="0.3">
      <c r="A117" s="57">
        <v>5</v>
      </c>
      <c r="B117" s="50" t="s">
        <v>107</v>
      </c>
      <c r="C117" s="72"/>
      <c r="D117" s="51"/>
      <c r="E117" s="51"/>
      <c r="F117" s="52"/>
      <c r="G117" s="52"/>
      <c r="H117" s="53">
        <v>1.9963905562568754E-3</v>
      </c>
      <c r="I117" s="54">
        <f>AU12</f>
        <v>46178</v>
      </c>
      <c r="J117" s="54">
        <f>AY12</f>
        <v>46206</v>
      </c>
      <c r="K117" s="176">
        <f t="shared" si="39"/>
        <v>28</v>
      </c>
      <c r="L117" s="180"/>
      <c r="M117" s="56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5"/>
      <c r="AO117" s="135"/>
      <c r="AP117" s="135"/>
      <c r="AQ117" s="135"/>
      <c r="AR117" s="135"/>
      <c r="AS117" s="135"/>
      <c r="AT117" s="135"/>
      <c r="AU117" s="135"/>
      <c r="AV117" s="135">
        <f>$H$117/4</f>
        <v>4.9909763906421886E-4</v>
      </c>
      <c r="AW117" s="135">
        <f t="shared" ref="AW117:AY117" si="44">$H$117/4</f>
        <v>4.9909763906421886E-4</v>
      </c>
      <c r="AX117" s="135">
        <f t="shared" si="44"/>
        <v>4.9909763906421886E-4</v>
      </c>
      <c r="AY117" s="135">
        <f t="shared" si="44"/>
        <v>4.9909763906421886E-4</v>
      </c>
      <c r="AZ117" s="135"/>
      <c r="BA117" s="135"/>
      <c r="BB117" s="135"/>
      <c r="BC117" s="135"/>
      <c r="BD117" s="135"/>
      <c r="BE117" s="135"/>
      <c r="BF117" s="70"/>
      <c r="BG117" s="70"/>
      <c r="BH117" s="70"/>
      <c r="BI117" s="70"/>
      <c r="BJ117" s="70"/>
      <c r="BK117" s="70"/>
      <c r="BL117" s="70"/>
      <c r="BM117" s="70"/>
      <c r="BN117" s="70"/>
      <c r="BO117" s="70"/>
      <c r="BP117" s="70"/>
      <c r="BQ117" s="70"/>
    </row>
    <row r="118" spans="1:69" s="71" customFormat="1" outlineLevel="1" x14ac:dyDescent="0.3">
      <c r="A118" s="57">
        <v>6</v>
      </c>
      <c r="B118" s="72" t="s">
        <v>108</v>
      </c>
      <c r="C118" s="72"/>
      <c r="D118" s="51"/>
      <c r="E118" s="51"/>
      <c r="F118" s="52"/>
      <c r="G118" s="52"/>
      <c r="H118" s="53">
        <v>1.5581584829321953E-3</v>
      </c>
      <c r="I118" s="54">
        <f>AU12</f>
        <v>46178</v>
      </c>
      <c r="J118" s="54">
        <f>AY12</f>
        <v>46206</v>
      </c>
      <c r="K118" s="176">
        <f t="shared" si="39"/>
        <v>28</v>
      </c>
      <c r="L118" s="180"/>
      <c r="M118" s="56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5"/>
      <c r="AO118" s="135"/>
      <c r="AP118" s="135"/>
      <c r="AQ118" s="135"/>
      <c r="AR118" s="135"/>
      <c r="AS118" s="135"/>
      <c r="AT118" s="135"/>
      <c r="AU118" s="135"/>
      <c r="AV118" s="135">
        <f>$H$118/4</f>
        <v>3.8953962073304884E-4</v>
      </c>
      <c r="AW118" s="135">
        <f t="shared" ref="AW118:AY118" si="45">$H$118/4</f>
        <v>3.8953962073304884E-4</v>
      </c>
      <c r="AX118" s="135">
        <f t="shared" si="45"/>
        <v>3.8953962073304884E-4</v>
      </c>
      <c r="AY118" s="135">
        <f t="shared" si="45"/>
        <v>3.8953962073304884E-4</v>
      </c>
      <c r="AZ118" s="135"/>
      <c r="BA118" s="135"/>
      <c r="BB118" s="135"/>
      <c r="BC118" s="135"/>
      <c r="BD118" s="135"/>
      <c r="BE118" s="135"/>
      <c r="BF118" s="70"/>
      <c r="BG118" s="70"/>
      <c r="BH118" s="70"/>
      <c r="BI118" s="70"/>
      <c r="BJ118" s="70"/>
      <c r="BK118" s="70"/>
      <c r="BL118" s="70"/>
      <c r="BM118" s="70"/>
      <c r="BN118" s="70"/>
      <c r="BO118" s="70"/>
      <c r="BP118" s="70"/>
      <c r="BQ118" s="70"/>
    </row>
    <row r="119" spans="1:69" s="71" customFormat="1" outlineLevel="1" x14ac:dyDescent="0.3">
      <c r="A119" s="57">
        <v>7</v>
      </c>
      <c r="B119" s="72" t="s">
        <v>109</v>
      </c>
      <c r="C119" s="72"/>
      <c r="D119" s="51"/>
      <c r="E119" s="51"/>
      <c r="F119" s="52"/>
      <c r="G119" s="52"/>
      <c r="H119" s="53">
        <v>1.2173113147907776E-3</v>
      </c>
      <c r="I119" s="54">
        <f>AU12</f>
        <v>46178</v>
      </c>
      <c r="J119" s="54">
        <f>AY12</f>
        <v>46206</v>
      </c>
      <c r="K119" s="176">
        <f t="shared" si="39"/>
        <v>28</v>
      </c>
      <c r="L119" s="180"/>
      <c r="M119" s="56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5"/>
      <c r="AO119" s="135"/>
      <c r="AP119" s="135"/>
      <c r="AQ119" s="135"/>
      <c r="AR119" s="135"/>
      <c r="AS119" s="135"/>
      <c r="AT119" s="135"/>
      <c r="AU119" s="135"/>
      <c r="AV119" s="135">
        <f>$H$119/4</f>
        <v>3.0432782869769441E-4</v>
      </c>
      <c r="AW119" s="135">
        <f t="shared" ref="AW119:AY119" si="46">$H$119/4</f>
        <v>3.0432782869769441E-4</v>
      </c>
      <c r="AX119" s="135">
        <f t="shared" si="46"/>
        <v>3.0432782869769441E-4</v>
      </c>
      <c r="AY119" s="135">
        <f t="shared" si="46"/>
        <v>3.0432782869769441E-4</v>
      </c>
      <c r="AZ119" s="135"/>
      <c r="BA119" s="135"/>
      <c r="BB119" s="135"/>
      <c r="BC119" s="135"/>
      <c r="BD119" s="135"/>
      <c r="BE119" s="135"/>
      <c r="BF119" s="70"/>
      <c r="BG119" s="70"/>
      <c r="BH119" s="70"/>
      <c r="BI119" s="70"/>
      <c r="BJ119" s="70"/>
      <c r="BK119" s="70"/>
      <c r="BL119" s="70"/>
      <c r="BM119" s="70"/>
      <c r="BN119" s="70"/>
      <c r="BO119" s="70"/>
      <c r="BP119" s="70"/>
      <c r="BQ119" s="70"/>
    </row>
    <row r="120" spans="1:69" s="71" customFormat="1" outlineLevel="1" x14ac:dyDescent="0.3">
      <c r="A120" s="57">
        <v>8</v>
      </c>
      <c r="B120" s="72" t="s">
        <v>110</v>
      </c>
      <c r="C120" s="72"/>
      <c r="D120" s="51"/>
      <c r="E120" s="51"/>
      <c r="F120" s="52"/>
      <c r="G120" s="52"/>
      <c r="H120" s="53">
        <v>8.1154087652718506E-4</v>
      </c>
      <c r="I120" s="54">
        <f>AU12</f>
        <v>46178</v>
      </c>
      <c r="J120" s="54">
        <f>AY12</f>
        <v>46206</v>
      </c>
      <c r="K120" s="176">
        <f t="shared" si="39"/>
        <v>28</v>
      </c>
      <c r="L120" s="180"/>
      <c r="M120" s="56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5"/>
      <c r="AO120" s="135"/>
      <c r="AP120" s="135"/>
      <c r="AQ120" s="135"/>
      <c r="AR120" s="135"/>
      <c r="AS120" s="135"/>
      <c r="AT120" s="135"/>
      <c r="AU120" s="135"/>
      <c r="AV120" s="135">
        <f>$H$120/4</f>
        <v>2.0288521913179627E-4</v>
      </c>
      <c r="AW120" s="135">
        <f t="shared" ref="AW120:AY120" si="47">$H$120/4</f>
        <v>2.0288521913179627E-4</v>
      </c>
      <c r="AX120" s="135">
        <f t="shared" si="47"/>
        <v>2.0288521913179627E-4</v>
      </c>
      <c r="AY120" s="135">
        <f t="shared" si="47"/>
        <v>2.0288521913179627E-4</v>
      </c>
      <c r="AZ120" s="135"/>
      <c r="BA120" s="135"/>
      <c r="BB120" s="135"/>
      <c r="BC120" s="135"/>
      <c r="BD120" s="135"/>
      <c r="BE120" s="135"/>
      <c r="BF120" s="70"/>
      <c r="BG120" s="70"/>
      <c r="BH120" s="70"/>
      <c r="BI120" s="70"/>
      <c r="BJ120" s="70"/>
      <c r="BK120" s="70"/>
      <c r="BL120" s="70"/>
      <c r="BM120" s="70"/>
      <c r="BN120" s="70"/>
      <c r="BO120" s="70"/>
      <c r="BP120" s="70"/>
      <c r="BQ120" s="70"/>
    </row>
    <row r="121" spans="1:69" s="71" customFormat="1" outlineLevel="1" x14ac:dyDescent="0.3">
      <c r="A121" s="57">
        <v>9</v>
      </c>
      <c r="B121" s="72" t="s">
        <v>111</v>
      </c>
      <c r="C121" s="72"/>
      <c r="D121" s="51"/>
      <c r="E121" s="51"/>
      <c r="F121" s="52"/>
      <c r="G121" s="52"/>
      <c r="H121" s="53">
        <v>5.8430943109957327E-3</v>
      </c>
      <c r="I121" s="54">
        <f>AU12</f>
        <v>46178</v>
      </c>
      <c r="J121" s="54">
        <f>AY12</f>
        <v>46206</v>
      </c>
      <c r="K121" s="176">
        <f t="shared" si="39"/>
        <v>28</v>
      </c>
      <c r="L121" s="180"/>
      <c r="M121" s="56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5"/>
      <c r="AO121" s="135"/>
      <c r="AP121" s="135"/>
      <c r="AQ121" s="135"/>
      <c r="AR121" s="135"/>
      <c r="AS121" s="135"/>
      <c r="AT121" s="135"/>
      <c r="AU121" s="135"/>
      <c r="AV121" s="135">
        <f>$H$121/4</f>
        <v>1.4607735777489332E-3</v>
      </c>
      <c r="AW121" s="135">
        <f t="shared" ref="AW121:AY121" si="48">$H$121/4</f>
        <v>1.4607735777489332E-3</v>
      </c>
      <c r="AX121" s="135">
        <f t="shared" si="48"/>
        <v>1.4607735777489332E-3</v>
      </c>
      <c r="AY121" s="135">
        <f t="shared" si="48"/>
        <v>1.4607735777489332E-3</v>
      </c>
      <c r="AZ121" s="135"/>
      <c r="BA121" s="135"/>
      <c r="BB121" s="135"/>
      <c r="BC121" s="135"/>
      <c r="BD121" s="135"/>
      <c r="BE121" s="135"/>
      <c r="BF121" s="70"/>
      <c r="BG121" s="70"/>
      <c r="BH121" s="70"/>
      <c r="BI121" s="70"/>
      <c r="BJ121" s="70"/>
      <c r="BK121" s="70"/>
      <c r="BL121" s="70"/>
      <c r="BM121" s="70"/>
      <c r="BN121" s="70"/>
      <c r="BO121" s="70"/>
      <c r="BP121" s="70"/>
      <c r="BQ121" s="70"/>
    </row>
    <row r="122" spans="1:69" s="71" customFormat="1" ht="4.95" customHeight="1" x14ac:dyDescent="0.3">
      <c r="A122" s="153"/>
      <c r="B122" s="154"/>
      <c r="C122" s="154"/>
      <c r="D122" s="154"/>
      <c r="E122" s="154"/>
      <c r="F122" s="154"/>
      <c r="G122" s="154"/>
      <c r="H122" s="88"/>
      <c r="I122" s="89"/>
      <c r="J122" s="89"/>
      <c r="K122" s="90"/>
      <c r="L122" s="180"/>
      <c r="M122" s="70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5"/>
      <c r="AO122" s="135"/>
      <c r="AP122" s="135"/>
      <c r="AQ122" s="135"/>
      <c r="AR122" s="135"/>
      <c r="AS122" s="135"/>
      <c r="AT122" s="135"/>
      <c r="AU122" s="135"/>
      <c r="AV122" s="135"/>
      <c r="AW122" s="135"/>
      <c r="AX122" s="135"/>
      <c r="AY122" s="135"/>
      <c r="AZ122" s="135"/>
      <c r="BA122" s="135"/>
      <c r="BB122" s="135"/>
      <c r="BC122" s="135"/>
      <c r="BD122" s="135"/>
      <c r="BE122" s="135"/>
      <c r="BF122" s="70"/>
      <c r="BG122" s="70"/>
      <c r="BH122" s="70"/>
      <c r="BI122" s="70"/>
      <c r="BJ122" s="70"/>
      <c r="BK122" s="70"/>
      <c r="BL122" s="70"/>
      <c r="BM122" s="70"/>
      <c r="BN122" s="70"/>
      <c r="BO122" s="70"/>
      <c r="BP122" s="70"/>
      <c r="BQ122" s="70"/>
    </row>
    <row r="123" spans="1:69" s="67" customFormat="1" x14ac:dyDescent="0.3">
      <c r="A123" s="40" t="s">
        <v>112</v>
      </c>
      <c r="B123" s="41" t="s">
        <v>17</v>
      </c>
      <c r="C123" s="42"/>
      <c r="D123" s="42"/>
      <c r="E123" s="42"/>
      <c r="F123" s="42"/>
      <c r="G123" s="42"/>
      <c r="H123" s="43"/>
      <c r="I123" s="44"/>
      <c r="J123" s="44"/>
      <c r="K123" s="45"/>
      <c r="L123" s="181"/>
      <c r="M123" s="46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  <c r="AD123" s="138"/>
      <c r="AE123" s="138"/>
      <c r="AF123" s="138"/>
      <c r="AG123" s="138"/>
      <c r="AH123" s="138"/>
      <c r="AI123" s="138"/>
      <c r="AJ123" s="138"/>
      <c r="AK123" s="138"/>
      <c r="AL123" s="138"/>
      <c r="AM123" s="138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136"/>
      <c r="BD123" s="136"/>
      <c r="BE123" s="136"/>
      <c r="BF123" s="66"/>
      <c r="BG123" s="66"/>
      <c r="BH123" s="66"/>
      <c r="BI123" s="66"/>
      <c r="BJ123" s="66"/>
      <c r="BK123" s="66"/>
      <c r="BL123" s="66"/>
      <c r="BM123" s="66"/>
      <c r="BN123" s="66"/>
      <c r="BO123" s="66"/>
      <c r="BP123" s="66"/>
      <c r="BQ123" s="66"/>
    </row>
    <row r="124" spans="1:69" outlineLevel="1" x14ac:dyDescent="0.3">
      <c r="A124" s="57">
        <v>1</v>
      </c>
      <c r="B124" s="72" t="s">
        <v>113</v>
      </c>
      <c r="C124" s="72"/>
      <c r="D124" s="51"/>
      <c r="E124" s="51"/>
      <c r="F124" s="52"/>
      <c r="G124" s="52"/>
      <c r="H124" s="53">
        <v>1.1361572271380591E-3</v>
      </c>
      <c r="I124" s="54">
        <f>AJ12</f>
        <v>46101</v>
      </c>
      <c r="J124" s="54">
        <f>AL12</f>
        <v>46115</v>
      </c>
      <c r="K124" s="176">
        <f t="shared" ref="K124:K130" si="49">J124-I124</f>
        <v>14</v>
      </c>
      <c r="L124" s="180"/>
      <c r="M124" s="56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5"/>
      <c r="AO124" s="135"/>
      <c r="AP124" s="135"/>
      <c r="AQ124" s="135"/>
      <c r="AR124" s="135"/>
      <c r="AS124" s="135">
        <f t="shared" ref="AS124:AT130" si="50">$H$124/3</f>
        <v>3.7871907571268635E-4</v>
      </c>
      <c r="AT124" s="135">
        <f t="shared" si="50"/>
        <v>3.7871907571268635E-4</v>
      </c>
      <c r="AU124" s="135">
        <f>$H$124/3</f>
        <v>3.7871907571268635E-4</v>
      </c>
      <c r="AV124" s="135"/>
      <c r="AW124" s="135"/>
      <c r="AX124" s="135"/>
      <c r="AY124" s="135"/>
      <c r="AZ124" s="135"/>
      <c r="BA124" s="135"/>
      <c r="BB124" s="135"/>
      <c r="BC124" s="135"/>
      <c r="BD124" s="135"/>
      <c r="BE124" s="135"/>
    </row>
    <row r="125" spans="1:69" outlineLevel="1" x14ac:dyDescent="0.3">
      <c r="A125" s="57">
        <v>2</v>
      </c>
      <c r="B125" s="72" t="s">
        <v>114</v>
      </c>
      <c r="C125" s="72"/>
      <c r="D125" s="51"/>
      <c r="E125" s="51"/>
      <c r="F125" s="52"/>
      <c r="G125" s="52"/>
      <c r="H125" s="53">
        <v>1.6230817530543703E-4</v>
      </c>
      <c r="I125" s="54">
        <f>AJ12</f>
        <v>46101</v>
      </c>
      <c r="J125" s="54">
        <f>AL12</f>
        <v>46115</v>
      </c>
      <c r="K125" s="176">
        <f t="shared" si="49"/>
        <v>14</v>
      </c>
      <c r="L125" s="180"/>
      <c r="M125" s="56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5"/>
      <c r="AO125" s="135"/>
      <c r="AP125" s="135"/>
      <c r="AQ125" s="135"/>
      <c r="AR125" s="135"/>
      <c r="AS125" s="135">
        <f>$H$125/3</f>
        <v>5.4102725101812345E-5</v>
      </c>
      <c r="AT125" s="135">
        <f t="shared" ref="AT125:AU125" si="51">$H$125/3</f>
        <v>5.4102725101812345E-5</v>
      </c>
      <c r="AU125" s="135">
        <f t="shared" si="51"/>
        <v>5.4102725101812345E-5</v>
      </c>
      <c r="AV125" s="135"/>
      <c r="AW125" s="135"/>
      <c r="AX125" s="135"/>
      <c r="AY125" s="135"/>
      <c r="AZ125" s="135"/>
      <c r="BA125" s="135"/>
      <c r="BB125" s="135"/>
      <c r="BC125" s="135"/>
      <c r="BD125" s="135"/>
      <c r="BE125" s="135"/>
    </row>
    <row r="126" spans="1:69" outlineLevel="1" x14ac:dyDescent="0.3">
      <c r="A126" s="57">
        <v>3</v>
      </c>
      <c r="B126" s="72" t="s">
        <v>115</v>
      </c>
      <c r="C126" s="72"/>
      <c r="D126" s="51"/>
      <c r="E126" s="51"/>
      <c r="F126" s="52"/>
      <c r="G126" s="52"/>
      <c r="H126" s="53">
        <v>1.6230817530543703E-4</v>
      </c>
      <c r="I126" s="54">
        <f>AJ12</f>
        <v>46101</v>
      </c>
      <c r="J126" s="54">
        <f>AL12</f>
        <v>46115</v>
      </c>
      <c r="K126" s="176">
        <f t="shared" si="49"/>
        <v>14</v>
      </c>
      <c r="L126" s="180"/>
      <c r="M126" s="56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5"/>
      <c r="AO126" s="135"/>
      <c r="AP126" s="135"/>
      <c r="AQ126" s="135"/>
      <c r="AR126" s="135"/>
      <c r="AS126" s="135">
        <f>$H$126/3</f>
        <v>5.4102725101812345E-5</v>
      </c>
      <c r="AT126" s="135">
        <f t="shared" ref="AT126:AU126" si="52">$H$126/3</f>
        <v>5.4102725101812345E-5</v>
      </c>
      <c r="AU126" s="135">
        <f t="shared" si="52"/>
        <v>5.4102725101812345E-5</v>
      </c>
      <c r="AV126" s="135"/>
      <c r="AW126" s="135"/>
      <c r="AX126" s="135"/>
      <c r="AY126" s="135"/>
      <c r="AZ126" s="135"/>
      <c r="BA126" s="135"/>
      <c r="BB126" s="135"/>
      <c r="BC126" s="135"/>
      <c r="BD126" s="135"/>
      <c r="BE126" s="135"/>
    </row>
    <row r="127" spans="1:69" outlineLevel="1" x14ac:dyDescent="0.3">
      <c r="A127" s="57">
        <v>4</v>
      </c>
      <c r="B127" s="72" t="s">
        <v>116</v>
      </c>
      <c r="C127" s="72"/>
      <c r="D127" s="51"/>
      <c r="E127" s="51"/>
      <c r="F127" s="52"/>
      <c r="G127" s="52"/>
      <c r="H127" s="53">
        <v>2.4346226295815553E-4</v>
      </c>
      <c r="I127" s="54">
        <f>AJ12</f>
        <v>46101</v>
      </c>
      <c r="J127" s="54">
        <f>AL12</f>
        <v>46115</v>
      </c>
      <c r="K127" s="176">
        <f t="shared" si="49"/>
        <v>14</v>
      </c>
      <c r="L127" s="180"/>
      <c r="M127" s="56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5"/>
      <c r="AO127" s="135"/>
      <c r="AP127" s="135"/>
      <c r="AQ127" s="135"/>
      <c r="AR127" s="135"/>
      <c r="AS127" s="135">
        <f>$H$127/3</f>
        <v>8.1154087652718514E-5</v>
      </c>
      <c r="AT127" s="135">
        <f t="shared" ref="AT127:AU127" si="53">$H$127/3</f>
        <v>8.1154087652718514E-5</v>
      </c>
      <c r="AU127" s="135">
        <f t="shared" si="53"/>
        <v>8.1154087652718514E-5</v>
      </c>
      <c r="AV127" s="135"/>
      <c r="AW127" s="135"/>
      <c r="AX127" s="135"/>
      <c r="AY127" s="135"/>
      <c r="AZ127" s="135"/>
      <c r="BA127" s="135"/>
      <c r="BB127" s="135"/>
      <c r="BC127" s="135"/>
      <c r="BD127" s="135"/>
      <c r="BE127" s="135"/>
    </row>
    <row r="128" spans="1:69" outlineLevel="1" x14ac:dyDescent="0.3">
      <c r="A128" s="57">
        <v>5</v>
      </c>
      <c r="B128" s="72" t="s">
        <v>117</v>
      </c>
      <c r="C128" s="72"/>
      <c r="D128" s="51"/>
      <c r="E128" s="51"/>
      <c r="F128" s="52"/>
      <c r="G128" s="52"/>
      <c r="H128" s="53">
        <v>1.6230817530543703E-4</v>
      </c>
      <c r="I128" s="54">
        <f>AJ12</f>
        <v>46101</v>
      </c>
      <c r="J128" s="54">
        <f>AL12</f>
        <v>46115</v>
      </c>
      <c r="K128" s="176">
        <f t="shared" si="49"/>
        <v>14</v>
      </c>
      <c r="L128" s="180"/>
      <c r="M128" s="56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5"/>
      <c r="AO128" s="135"/>
      <c r="AP128" s="135"/>
      <c r="AQ128" s="135"/>
      <c r="AR128" s="135"/>
      <c r="AS128" s="135">
        <f>$H$128/3</f>
        <v>5.4102725101812345E-5</v>
      </c>
      <c r="AT128" s="135">
        <f t="shared" ref="AT128:AU128" si="54">$H$128/3</f>
        <v>5.4102725101812345E-5</v>
      </c>
      <c r="AU128" s="135">
        <f t="shared" si="54"/>
        <v>5.4102725101812345E-5</v>
      </c>
      <c r="AV128" s="135"/>
      <c r="AW128" s="135"/>
      <c r="AX128" s="135"/>
      <c r="AY128" s="135"/>
      <c r="AZ128" s="135"/>
      <c r="BA128" s="135"/>
      <c r="BB128" s="135"/>
      <c r="BC128" s="135"/>
      <c r="BD128" s="135"/>
      <c r="BE128" s="135"/>
    </row>
    <row r="129" spans="1:69" s="71" customFormat="1" ht="15.75" customHeight="1" outlineLevel="1" x14ac:dyDescent="0.3">
      <c r="A129" s="57">
        <v>6</v>
      </c>
      <c r="B129" s="72" t="s">
        <v>118</v>
      </c>
      <c r="C129" s="72"/>
      <c r="D129" s="51"/>
      <c r="E129" s="51"/>
      <c r="F129" s="52"/>
      <c r="G129" s="52"/>
      <c r="H129" s="53">
        <v>1.9476981036652442E-4</v>
      </c>
      <c r="I129" s="54">
        <f>AJ12</f>
        <v>46101</v>
      </c>
      <c r="J129" s="54">
        <f>AL12</f>
        <v>46115</v>
      </c>
      <c r="K129" s="176">
        <f t="shared" si="49"/>
        <v>14</v>
      </c>
      <c r="L129" s="180"/>
      <c r="M129" s="56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5"/>
      <c r="AO129" s="135"/>
      <c r="AP129" s="135"/>
      <c r="AQ129" s="135"/>
      <c r="AR129" s="135"/>
      <c r="AS129" s="135">
        <f>$H$129/3</f>
        <v>6.4923270122174806E-5</v>
      </c>
      <c r="AT129" s="135">
        <f t="shared" ref="AT129:AU129" si="55">$H$129/3</f>
        <v>6.4923270122174806E-5</v>
      </c>
      <c r="AU129" s="135">
        <f t="shared" si="55"/>
        <v>6.4923270122174806E-5</v>
      </c>
      <c r="AV129" s="135"/>
      <c r="AW129" s="135"/>
      <c r="AX129" s="135"/>
      <c r="AY129" s="135"/>
      <c r="AZ129" s="135"/>
      <c r="BA129" s="135"/>
      <c r="BB129" s="135"/>
      <c r="BC129" s="135"/>
      <c r="BD129" s="135"/>
      <c r="BE129" s="135"/>
      <c r="BF129" s="70"/>
      <c r="BG129" s="70"/>
      <c r="BH129" s="70"/>
      <c r="BI129" s="70"/>
      <c r="BJ129" s="70"/>
      <c r="BK129" s="70"/>
      <c r="BL129" s="70"/>
      <c r="BM129" s="70"/>
      <c r="BN129" s="70"/>
      <c r="BO129" s="70"/>
      <c r="BP129" s="70"/>
      <c r="BQ129" s="70"/>
    </row>
    <row r="130" spans="1:69" s="71" customFormat="1" ht="15.75" customHeight="1" outlineLevel="1" x14ac:dyDescent="0.3">
      <c r="A130" s="57">
        <v>7</v>
      </c>
      <c r="B130" s="72" t="s">
        <v>119</v>
      </c>
      <c r="C130" s="72"/>
      <c r="D130" s="51"/>
      <c r="E130" s="51"/>
      <c r="F130" s="52"/>
      <c r="G130" s="52"/>
      <c r="H130" s="53">
        <v>4.0577043826359257E-5</v>
      </c>
      <c r="I130" s="54">
        <f>AJ12</f>
        <v>46101</v>
      </c>
      <c r="J130" s="54">
        <f>AL12</f>
        <v>46115</v>
      </c>
      <c r="K130" s="176">
        <f t="shared" si="49"/>
        <v>14</v>
      </c>
      <c r="L130" s="180"/>
      <c r="M130" s="56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5"/>
      <c r="AO130" s="135"/>
      <c r="AP130" s="135"/>
      <c r="AQ130" s="135"/>
      <c r="AR130" s="135"/>
      <c r="AS130" s="135">
        <f>$H$130/3</f>
        <v>1.3525681275453086E-5</v>
      </c>
      <c r="AT130" s="135">
        <f t="shared" ref="AT130:AU130" si="56">$H$130/3</f>
        <v>1.3525681275453086E-5</v>
      </c>
      <c r="AU130" s="135">
        <f t="shared" si="56"/>
        <v>1.3525681275453086E-5</v>
      </c>
      <c r="AV130" s="135"/>
      <c r="AW130" s="135"/>
      <c r="AX130" s="135"/>
      <c r="AY130" s="135"/>
      <c r="AZ130" s="135"/>
      <c r="BA130" s="135"/>
      <c r="BB130" s="135"/>
      <c r="BC130" s="135"/>
      <c r="BD130" s="135"/>
      <c r="BE130" s="135"/>
      <c r="BF130" s="70"/>
      <c r="BG130" s="70"/>
      <c r="BH130" s="70"/>
      <c r="BI130" s="70"/>
      <c r="BJ130" s="70"/>
      <c r="BK130" s="70"/>
      <c r="BL130" s="70"/>
      <c r="BM130" s="70"/>
      <c r="BN130" s="70"/>
      <c r="BO130" s="70"/>
      <c r="BP130" s="70"/>
      <c r="BQ130" s="70"/>
    </row>
    <row r="131" spans="1:69" s="71" customFormat="1" ht="4.95" customHeight="1" x14ac:dyDescent="0.3">
      <c r="A131" s="153"/>
      <c r="B131" s="154"/>
      <c r="C131" s="154"/>
      <c r="D131" s="154"/>
      <c r="E131" s="154"/>
      <c r="F131" s="154"/>
      <c r="G131" s="154"/>
      <c r="H131" s="91"/>
      <c r="I131" s="92"/>
      <c r="J131" s="92"/>
      <c r="K131" s="93"/>
      <c r="L131" s="180"/>
      <c r="M131" s="32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5"/>
      <c r="AO131" s="135"/>
      <c r="AP131" s="135"/>
      <c r="AQ131" s="135"/>
      <c r="AR131" s="135"/>
      <c r="AS131" s="135"/>
      <c r="AT131" s="135"/>
      <c r="AU131" s="135"/>
      <c r="AV131" s="135"/>
      <c r="AW131" s="135"/>
      <c r="AX131" s="135"/>
      <c r="AY131" s="135"/>
      <c r="AZ131" s="135"/>
      <c r="BA131" s="135"/>
      <c r="BB131" s="135"/>
      <c r="BC131" s="135"/>
      <c r="BD131" s="135"/>
      <c r="BE131" s="135"/>
      <c r="BF131" s="70"/>
      <c r="BG131" s="70"/>
      <c r="BH131" s="70"/>
      <c r="BI131" s="70"/>
      <c r="BJ131" s="70"/>
      <c r="BK131" s="70"/>
      <c r="BL131" s="70"/>
      <c r="BM131" s="70"/>
      <c r="BN131" s="70"/>
      <c r="BO131" s="70"/>
      <c r="BP131" s="70"/>
      <c r="BQ131" s="70"/>
    </row>
    <row r="132" spans="1:69" s="67" customFormat="1" x14ac:dyDescent="0.3">
      <c r="A132" s="40" t="s">
        <v>120</v>
      </c>
      <c r="B132" s="41" t="s">
        <v>121</v>
      </c>
      <c r="C132" s="42"/>
      <c r="D132" s="42"/>
      <c r="E132" s="42"/>
      <c r="F132" s="42"/>
      <c r="G132" s="42"/>
      <c r="H132" s="43"/>
      <c r="I132" s="44"/>
      <c r="J132" s="44"/>
      <c r="K132" s="45"/>
      <c r="L132" s="181"/>
      <c r="M132" s="46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  <c r="AE132" s="138"/>
      <c r="AF132" s="138"/>
      <c r="AG132" s="138"/>
      <c r="AH132" s="138"/>
      <c r="AI132" s="138"/>
      <c r="AJ132" s="138"/>
      <c r="AK132" s="138"/>
      <c r="AL132" s="138"/>
      <c r="AM132" s="138"/>
      <c r="AN132" s="136"/>
      <c r="AO132" s="136"/>
      <c r="AP132" s="136"/>
      <c r="AQ132" s="136"/>
      <c r="AR132" s="136"/>
      <c r="AS132" s="136"/>
      <c r="AT132" s="136"/>
      <c r="AU132" s="136"/>
      <c r="AV132" s="136"/>
      <c r="AW132" s="136"/>
      <c r="AX132" s="136"/>
      <c r="AY132" s="136"/>
      <c r="AZ132" s="136"/>
      <c r="BA132" s="136"/>
      <c r="BB132" s="136"/>
      <c r="BC132" s="136"/>
      <c r="BD132" s="136"/>
      <c r="BE132" s="136"/>
      <c r="BF132" s="66"/>
      <c r="BG132" s="66"/>
      <c r="BH132" s="66"/>
      <c r="BI132" s="66"/>
      <c r="BJ132" s="66"/>
      <c r="BK132" s="66"/>
      <c r="BL132" s="66"/>
      <c r="BM132" s="66"/>
      <c r="BN132" s="66"/>
      <c r="BO132" s="66"/>
      <c r="BP132" s="66"/>
      <c r="BQ132" s="66"/>
    </row>
    <row r="133" spans="1:69" s="71" customFormat="1" outlineLevel="1" x14ac:dyDescent="0.3">
      <c r="A133" s="57">
        <v>1</v>
      </c>
      <c r="B133" s="72" t="s">
        <v>122</v>
      </c>
      <c r="C133" s="94"/>
      <c r="D133" s="58"/>
      <c r="E133" s="58"/>
      <c r="F133" s="58"/>
      <c r="G133" s="58"/>
      <c r="H133" s="53">
        <v>2.845470067568702E-2</v>
      </c>
      <c r="I133" s="54">
        <f>I15</f>
        <v>45940</v>
      </c>
      <c r="J133" s="54">
        <f>J17</f>
        <v>46122</v>
      </c>
      <c r="K133" s="55">
        <f t="shared" ref="K133" si="57">J133-I133</f>
        <v>182</v>
      </c>
      <c r="L133" s="180"/>
      <c r="M133" s="56"/>
      <c r="N133" s="137">
        <f>(H133-SUM(U133:AM133))/7</f>
        <v>2.9792429536695739E-3</v>
      </c>
      <c r="O133" s="137">
        <f>N133</f>
        <v>2.9792429536695739E-3</v>
      </c>
      <c r="P133" s="137">
        <f t="shared" ref="P133:T133" si="58">O133</f>
        <v>2.9792429536695739E-3</v>
      </c>
      <c r="Q133" s="137">
        <f t="shared" si="58"/>
        <v>2.9792429536695739E-3</v>
      </c>
      <c r="R133" s="137">
        <f t="shared" si="58"/>
        <v>2.9792429536695739E-3</v>
      </c>
      <c r="S133" s="137">
        <f t="shared" si="58"/>
        <v>2.9792429536695739E-3</v>
      </c>
      <c r="T133" s="137">
        <f t="shared" si="58"/>
        <v>2.9792429536695739E-3</v>
      </c>
      <c r="U133" s="137">
        <f>0.04%</f>
        <v>4.0000000000000002E-4</v>
      </c>
      <c r="V133" s="137">
        <f t="shared" ref="V133:AM133" si="59">0.04%</f>
        <v>4.0000000000000002E-4</v>
      </c>
      <c r="W133" s="137">
        <f t="shared" si="59"/>
        <v>4.0000000000000002E-4</v>
      </c>
      <c r="X133" s="137">
        <f t="shared" si="59"/>
        <v>4.0000000000000002E-4</v>
      </c>
      <c r="Y133" s="137">
        <f t="shared" si="59"/>
        <v>4.0000000000000002E-4</v>
      </c>
      <c r="Z133" s="137">
        <f t="shared" si="59"/>
        <v>4.0000000000000002E-4</v>
      </c>
      <c r="AA133" s="137">
        <f t="shared" si="59"/>
        <v>4.0000000000000002E-4</v>
      </c>
      <c r="AB133" s="137">
        <f t="shared" si="59"/>
        <v>4.0000000000000002E-4</v>
      </c>
      <c r="AC133" s="137">
        <f t="shared" si="59"/>
        <v>4.0000000000000002E-4</v>
      </c>
      <c r="AD133" s="137">
        <f t="shared" si="59"/>
        <v>4.0000000000000002E-4</v>
      </c>
      <c r="AE133" s="137">
        <f t="shared" si="59"/>
        <v>4.0000000000000002E-4</v>
      </c>
      <c r="AF133" s="137">
        <f t="shared" si="59"/>
        <v>4.0000000000000002E-4</v>
      </c>
      <c r="AG133" s="137">
        <f t="shared" si="59"/>
        <v>4.0000000000000002E-4</v>
      </c>
      <c r="AH133" s="137">
        <f t="shared" si="59"/>
        <v>4.0000000000000002E-4</v>
      </c>
      <c r="AI133" s="137">
        <f t="shared" si="59"/>
        <v>4.0000000000000002E-4</v>
      </c>
      <c r="AJ133" s="137">
        <f t="shared" si="59"/>
        <v>4.0000000000000002E-4</v>
      </c>
      <c r="AK133" s="137">
        <f t="shared" si="59"/>
        <v>4.0000000000000002E-4</v>
      </c>
      <c r="AL133" s="137">
        <f t="shared" si="59"/>
        <v>4.0000000000000002E-4</v>
      </c>
      <c r="AM133" s="137">
        <f t="shared" si="59"/>
        <v>4.0000000000000002E-4</v>
      </c>
      <c r="AN133" s="135"/>
      <c r="AO133" s="135"/>
      <c r="AP133" s="135"/>
      <c r="AQ133" s="135"/>
      <c r="AR133" s="135"/>
      <c r="AS133" s="135"/>
      <c r="AT133" s="135"/>
      <c r="AU133" s="135"/>
      <c r="AV133" s="135"/>
      <c r="AW133" s="135"/>
      <c r="AX133" s="135"/>
      <c r="AY133" s="135"/>
      <c r="AZ133" s="135"/>
      <c r="BA133" s="135"/>
      <c r="BB133" s="135"/>
      <c r="BC133" s="135"/>
      <c r="BD133" s="135"/>
      <c r="BE133" s="135"/>
      <c r="BF133" s="70"/>
      <c r="BG133" s="70"/>
      <c r="BH133" s="70"/>
      <c r="BI133" s="70"/>
      <c r="BJ133" s="70"/>
      <c r="BK133" s="70"/>
      <c r="BL133" s="70"/>
      <c r="BM133" s="70"/>
      <c r="BN133" s="70"/>
      <c r="BO133" s="70"/>
      <c r="BP133" s="70"/>
      <c r="BQ133" s="70"/>
    </row>
    <row r="134" spans="1:69" ht="4.95" customHeight="1" x14ac:dyDescent="0.3">
      <c r="A134" s="153"/>
      <c r="B134" s="154"/>
      <c r="C134" s="154"/>
      <c r="D134" s="154"/>
      <c r="E134" s="154"/>
      <c r="F134" s="154"/>
      <c r="G134" s="154"/>
      <c r="H134" s="60"/>
      <c r="I134" s="61"/>
      <c r="J134" s="61"/>
      <c r="K134" s="62"/>
      <c r="L134" s="180"/>
      <c r="M134" s="32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</row>
    <row r="135" spans="1:69" ht="4.95" customHeight="1" x14ac:dyDescent="0.3">
      <c r="A135" s="98"/>
      <c r="B135" s="97"/>
      <c r="C135" s="59"/>
      <c r="D135" s="59"/>
      <c r="E135" s="59"/>
      <c r="F135" s="59"/>
      <c r="G135" s="59"/>
      <c r="H135" s="95"/>
      <c r="I135" s="96"/>
      <c r="J135" s="96"/>
      <c r="K135" s="99"/>
      <c r="L135" s="68"/>
      <c r="M135" s="68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</row>
    <row r="136" spans="1:69" ht="18.600000000000001" thickBot="1" x14ac:dyDescent="0.35">
      <c r="A136" s="100" t="s">
        <v>20</v>
      </c>
      <c r="B136" s="101" t="s">
        <v>21</v>
      </c>
      <c r="C136" s="102"/>
      <c r="D136" s="102"/>
      <c r="E136" s="102"/>
      <c r="F136" s="102"/>
      <c r="G136" s="102"/>
      <c r="H136" s="103">
        <f>SUM(H15:H133)</f>
        <v>0.99999999999999978</v>
      </c>
      <c r="I136" s="104"/>
      <c r="J136" s="104"/>
      <c r="K136" s="105"/>
      <c r="L136" s="106"/>
      <c r="M136" s="106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</row>
    <row r="137" spans="1:69" ht="16.8" thickTop="1" thickBot="1" x14ac:dyDescent="0.35">
      <c r="A137" s="107"/>
    </row>
    <row r="138" spans="1:69" x14ac:dyDescent="0.3">
      <c r="A138" s="196"/>
      <c r="B138" s="197"/>
      <c r="C138" s="198"/>
      <c r="H138" s="109"/>
      <c r="I138" s="110"/>
      <c r="J138" s="111"/>
      <c r="K138" s="112" t="s">
        <v>170</v>
      </c>
      <c r="L138" s="108"/>
      <c r="M138" s="108"/>
      <c r="N138" s="167">
        <v>2.3304223768016434E-2</v>
      </c>
      <c r="O138" s="168">
        <v>1.9792855195785622E-2</v>
      </c>
      <c r="P138" s="168">
        <v>4.3554268346344266E-2</v>
      </c>
      <c r="Q138" s="168">
        <v>5.431025208696455E-2</v>
      </c>
      <c r="R138" s="168">
        <v>2.8541078945111473E-2</v>
      </c>
      <c r="S138" s="168">
        <v>6.5998214696338348E-2</v>
      </c>
      <c r="T138" s="168">
        <v>1.7541508275450889E-2</v>
      </c>
      <c r="U138" s="168">
        <v>1.7153433663417234E-2</v>
      </c>
      <c r="V138" s="168">
        <v>6.5530043330778139E-3</v>
      </c>
      <c r="W138" s="168">
        <v>1.1853363460670022E-2</v>
      </c>
      <c r="X138" s="168">
        <v>1.7153363460670024E-2</v>
      </c>
      <c r="Y138" s="168">
        <v>4.3445784745752933E-2</v>
      </c>
      <c r="Z138" s="168">
        <v>7.7708527932698154E-2</v>
      </c>
      <c r="AA138" s="168">
        <v>3.0095475679042222E-2</v>
      </c>
      <c r="AB138" s="168">
        <v>3.4095475679042225E-2</v>
      </c>
      <c r="AC138" s="168">
        <v>2.1583283120362305E-2</v>
      </c>
      <c r="AD138" s="168">
        <v>3.1564783419425937E-2</v>
      </c>
      <c r="AE138" s="168">
        <v>5.1159684882525092E-2</v>
      </c>
      <c r="AF138" s="168">
        <v>3.5526582480213009E-2</v>
      </c>
      <c r="AG138" s="168">
        <v>5.0807013406964181E-3</v>
      </c>
      <c r="AH138" s="168">
        <v>4.5921864066868594E-2</v>
      </c>
      <c r="AI138" s="168">
        <v>0.13119342803547734</v>
      </c>
      <c r="AJ138" s="168">
        <v>9.9751240884992876E-2</v>
      </c>
      <c r="AK138" s="168">
        <v>5.2104615567387672E-2</v>
      </c>
      <c r="AL138" s="168">
        <v>3.053978136999564E-2</v>
      </c>
      <c r="AM138" s="169">
        <v>4.4732045636727098E-3</v>
      </c>
    </row>
    <row r="139" spans="1:69" ht="18.600000000000001" thickBot="1" x14ac:dyDescent="0.4">
      <c r="A139" s="199"/>
      <c r="B139" s="200"/>
      <c r="C139" s="200"/>
      <c r="E139" s="113"/>
      <c r="F139" s="113"/>
      <c r="G139" s="113"/>
      <c r="H139" s="114"/>
      <c r="I139" s="115"/>
      <c r="J139" s="116"/>
      <c r="K139" s="117" t="s">
        <v>22</v>
      </c>
      <c r="M139" s="146">
        <v>0</v>
      </c>
      <c r="N139" s="182">
        <f>N138</f>
        <v>2.3304223768016434E-2</v>
      </c>
      <c r="O139" s="183">
        <f>N139+O138</f>
        <v>4.3097078963802056E-2</v>
      </c>
      <c r="P139" s="183">
        <f t="shared" ref="P139:AL139" si="60">O139+P138</f>
        <v>8.6651347310146315E-2</v>
      </c>
      <c r="Q139" s="183">
        <f t="shared" si="60"/>
        <v>0.14096159939711086</v>
      </c>
      <c r="R139" s="183">
        <f t="shared" si="60"/>
        <v>0.16950267834222232</v>
      </c>
      <c r="S139" s="183">
        <f t="shared" si="60"/>
        <v>0.23550089303856067</v>
      </c>
      <c r="T139" s="183">
        <f t="shared" si="60"/>
        <v>0.25304240131401157</v>
      </c>
      <c r="U139" s="183">
        <f t="shared" si="60"/>
        <v>0.27019583497742883</v>
      </c>
      <c r="V139" s="183">
        <f t="shared" si="60"/>
        <v>0.27674883931050664</v>
      </c>
      <c r="W139" s="183">
        <f t="shared" si="60"/>
        <v>0.28860220277117665</v>
      </c>
      <c r="X139" s="183">
        <f t="shared" si="60"/>
        <v>0.30575556623184669</v>
      </c>
      <c r="Y139" s="183">
        <f t="shared" si="60"/>
        <v>0.34920135097759963</v>
      </c>
      <c r="Z139" s="183">
        <f t="shared" si="60"/>
        <v>0.4269098789102978</v>
      </c>
      <c r="AA139" s="183">
        <f t="shared" si="60"/>
        <v>0.45700535458934</v>
      </c>
      <c r="AB139" s="183">
        <f t="shared" si="60"/>
        <v>0.49110083026838225</v>
      </c>
      <c r="AC139" s="183">
        <f t="shared" si="60"/>
        <v>0.51268411338874453</v>
      </c>
      <c r="AD139" s="183">
        <f t="shared" si="60"/>
        <v>0.54424889680817046</v>
      </c>
      <c r="AE139" s="183">
        <f t="shared" si="60"/>
        <v>0.59540858169069555</v>
      </c>
      <c r="AF139" s="183">
        <f t="shared" si="60"/>
        <v>0.63093516417090856</v>
      </c>
      <c r="AG139" s="183">
        <f t="shared" si="60"/>
        <v>0.63601586551160494</v>
      </c>
      <c r="AH139" s="183">
        <f t="shared" si="60"/>
        <v>0.68193772957847354</v>
      </c>
      <c r="AI139" s="183">
        <f t="shared" si="60"/>
        <v>0.81313115761395083</v>
      </c>
      <c r="AJ139" s="183">
        <f t="shared" si="60"/>
        <v>0.9128823984989437</v>
      </c>
      <c r="AK139" s="183">
        <f t="shared" si="60"/>
        <v>0.96498701406633136</v>
      </c>
      <c r="AL139" s="183">
        <f t="shared" si="60"/>
        <v>0.99552679543632705</v>
      </c>
      <c r="AM139" s="184">
        <f>AL139+AM138</f>
        <v>0.99999999999999978</v>
      </c>
    </row>
    <row r="140" spans="1:69" ht="18" x14ac:dyDescent="0.35">
      <c r="A140" s="144"/>
      <c r="C140" s="2"/>
      <c r="E140" s="113"/>
      <c r="F140" s="113"/>
      <c r="G140" s="113"/>
      <c r="H140" s="161"/>
      <c r="I140" s="162"/>
      <c r="J140" s="163"/>
      <c r="K140" s="165" t="s">
        <v>171</v>
      </c>
      <c r="M140" s="146">
        <v>0</v>
      </c>
      <c r="N140" s="185">
        <f>SUM(N14:N133)</f>
        <v>2.3304223768016434E-2</v>
      </c>
      <c r="O140" s="186">
        <f t="shared" ref="O140:BE140" si="61">SUM(O14:O133)</f>
        <v>1.9792855195785622E-2</v>
      </c>
      <c r="P140" s="186">
        <f t="shared" si="61"/>
        <v>4.3554268346344266E-2</v>
      </c>
      <c r="Q140" s="186">
        <f t="shared" si="61"/>
        <v>5.431025208696455E-2</v>
      </c>
      <c r="R140" s="186">
        <f t="shared" si="61"/>
        <v>2.8541078945111473E-2</v>
      </c>
      <c r="S140" s="186">
        <f t="shared" si="61"/>
        <v>6.5998214696338348E-2</v>
      </c>
      <c r="T140" s="186">
        <f t="shared" si="61"/>
        <v>1.7541508275450889E-2</v>
      </c>
      <c r="U140" s="186">
        <f t="shared" si="61"/>
        <v>1.7153433663417234E-2</v>
      </c>
      <c r="V140" s="186">
        <f t="shared" si="61"/>
        <v>6.5530043330778139E-3</v>
      </c>
      <c r="W140" s="186">
        <f t="shared" si="61"/>
        <v>1.0653004333077812E-2</v>
      </c>
      <c r="X140" s="186">
        <f t="shared" si="61"/>
        <v>1.5953004333077815E-2</v>
      </c>
      <c r="Y140" s="186">
        <f t="shared" si="61"/>
        <v>4.224542561816072E-2</v>
      </c>
      <c r="Z140" s="186">
        <f t="shared" si="61"/>
        <v>7.6508168805105942E-2</v>
      </c>
      <c r="AA140" s="186">
        <f t="shared" si="61"/>
        <v>2.8895116551450013E-2</v>
      </c>
      <c r="AB140" s="186">
        <f t="shared" si="61"/>
        <v>3.2895116551450013E-2</v>
      </c>
      <c r="AC140" s="186">
        <f t="shared" si="61"/>
        <v>2.0382923992770096E-2</v>
      </c>
      <c r="AD140" s="186">
        <f t="shared" si="61"/>
        <v>3.0364424291833728E-2</v>
      </c>
      <c r="AE140" s="186">
        <f t="shared" si="61"/>
        <v>2.393294690546206E-2</v>
      </c>
      <c r="AF140" s="186">
        <f t="shared" si="61"/>
        <v>2.9676241910489578E-3</v>
      </c>
      <c r="AG140" s="186">
        <f t="shared" si="61"/>
        <v>9.6183599144189741E-4</v>
      </c>
      <c r="AH140" s="186">
        <f t="shared" si="61"/>
        <v>1.9635488945237606E-2</v>
      </c>
      <c r="AI140" s="186">
        <f t="shared" si="61"/>
        <v>4.2996705879086529E-2</v>
      </c>
      <c r="AJ140" s="186">
        <f t="shared" si="61"/>
        <v>1.5810044315300257E-2</v>
      </c>
      <c r="AK140" s="186">
        <f t="shared" si="61"/>
        <v>1.7180834240659859E-2</v>
      </c>
      <c r="AL140" s="186">
        <f t="shared" si="61"/>
        <v>9.6183599144189741E-4</v>
      </c>
      <c r="AM140" s="186">
        <f t="shared" si="61"/>
        <v>4.4732045636727098E-3</v>
      </c>
      <c r="AN140" s="186">
        <f t="shared" si="61"/>
        <v>1.9671750847018964E-3</v>
      </c>
      <c r="AO140" s="186">
        <f t="shared" si="61"/>
        <v>1.9671750847018964E-3</v>
      </c>
      <c r="AP140" s="186">
        <f t="shared" si="61"/>
        <v>1.9671750847018964E-3</v>
      </c>
      <c r="AQ140" s="186">
        <f t="shared" si="61"/>
        <v>9.4774989724350778E-3</v>
      </c>
      <c r="AR140" s="186">
        <f t="shared" si="61"/>
        <v>8.0681738400944641E-3</v>
      </c>
      <c r="AS140" s="186">
        <f t="shared" si="61"/>
        <v>8.7688041301629324E-3</v>
      </c>
      <c r="AT140" s="186">
        <f t="shared" si="61"/>
        <v>1.8092012301919959E-2</v>
      </c>
      <c r="AU140" s="186">
        <f t="shared" si="61"/>
        <v>1.8092012301919959E-2</v>
      </c>
      <c r="AV140" s="186">
        <f t="shared" si="61"/>
        <v>1.932965974902201E-2</v>
      </c>
      <c r="AW140" s="186">
        <f t="shared" si="61"/>
        <v>2.0632761322184928E-2</v>
      </c>
      <c r="AX140" s="186">
        <f t="shared" si="61"/>
        <v>2.0632761322184928E-2</v>
      </c>
      <c r="AY140" s="186">
        <f t="shared" si="61"/>
        <v>2.6075603672877454E-2</v>
      </c>
      <c r="AZ140" s="186">
        <f t="shared" si="61"/>
        <v>2.1620374107283451E-2</v>
      </c>
      <c r="BA140" s="186">
        <f t="shared" si="61"/>
        <v>2.1761484834893995E-2</v>
      </c>
      <c r="BB140" s="186">
        <f t="shared" si="61"/>
        <v>6.4114129069404419E-2</v>
      </c>
      <c r="BC140" s="186">
        <f t="shared" si="61"/>
        <v>4.7383548436277741E-2</v>
      </c>
      <c r="BD140" s="186">
        <f t="shared" si="61"/>
        <v>2.3563457724601489E-2</v>
      </c>
      <c r="BE140" s="187">
        <f t="shared" si="61"/>
        <v>2.9196481498467925E-3</v>
      </c>
    </row>
    <row r="141" spans="1:69" ht="18" x14ac:dyDescent="0.35">
      <c r="A141" s="71" t="s">
        <v>172</v>
      </c>
      <c r="B141" s="143"/>
      <c r="E141" s="113"/>
      <c r="F141" s="113"/>
      <c r="G141" s="113"/>
      <c r="H141" s="114"/>
      <c r="I141" s="115"/>
      <c r="J141" s="164"/>
      <c r="K141" s="166" t="s">
        <v>150</v>
      </c>
      <c r="M141" s="146">
        <v>0</v>
      </c>
      <c r="N141" s="170">
        <f>N140</f>
        <v>2.3304223768016434E-2</v>
      </c>
      <c r="O141" s="171">
        <f>N141+O140</f>
        <v>4.3097078963802056E-2</v>
      </c>
      <c r="P141" s="171">
        <f t="shared" ref="P141:AL141" si="62">O141+P140</f>
        <v>8.6651347310146315E-2</v>
      </c>
      <c r="Q141" s="171">
        <f t="shared" si="62"/>
        <v>0.14096159939711086</v>
      </c>
      <c r="R141" s="171">
        <f t="shared" si="62"/>
        <v>0.16950267834222232</v>
      </c>
      <c r="S141" s="171">
        <f t="shared" si="62"/>
        <v>0.23550089303856067</v>
      </c>
      <c r="T141" s="171">
        <f t="shared" si="62"/>
        <v>0.25304240131401157</v>
      </c>
      <c r="U141" s="171">
        <f t="shared" si="62"/>
        <v>0.27019583497742883</v>
      </c>
      <c r="V141" s="171">
        <f t="shared" si="62"/>
        <v>0.27674883931050664</v>
      </c>
      <c r="W141" s="171">
        <f t="shared" si="62"/>
        <v>0.28740184364358445</v>
      </c>
      <c r="X141" s="171">
        <f t="shared" si="62"/>
        <v>0.30335484797666229</v>
      </c>
      <c r="Y141" s="171">
        <f t="shared" si="62"/>
        <v>0.34560027359482304</v>
      </c>
      <c r="Z141" s="171">
        <f t="shared" si="62"/>
        <v>0.42210844239992895</v>
      </c>
      <c r="AA141" s="171">
        <f t="shared" si="62"/>
        <v>0.45100355895137895</v>
      </c>
      <c r="AB141" s="171">
        <f t="shared" si="62"/>
        <v>0.48389867550282895</v>
      </c>
      <c r="AC141" s="171">
        <f t="shared" si="62"/>
        <v>0.50428159949559903</v>
      </c>
      <c r="AD141" s="171">
        <f t="shared" si="62"/>
        <v>0.53464602378743276</v>
      </c>
      <c r="AE141" s="171">
        <f t="shared" si="62"/>
        <v>0.55857897069289486</v>
      </c>
      <c r="AF141" s="171">
        <f t="shared" si="62"/>
        <v>0.56154659488394387</v>
      </c>
      <c r="AG141" s="171">
        <f t="shared" si="62"/>
        <v>0.56250843087538582</v>
      </c>
      <c r="AH141" s="171">
        <f t="shared" si="62"/>
        <v>0.58214391982062341</v>
      </c>
      <c r="AI141" s="171">
        <f t="shared" si="62"/>
        <v>0.62514062569970996</v>
      </c>
      <c r="AJ141" s="171">
        <f t="shared" si="62"/>
        <v>0.64095067001501027</v>
      </c>
      <c r="AK141" s="171">
        <f t="shared" si="62"/>
        <v>0.65813150425567013</v>
      </c>
      <c r="AL141" s="171">
        <f t="shared" si="62"/>
        <v>0.65909334024711208</v>
      </c>
      <c r="AM141" s="171">
        <f>AL141+AM140</f>
        <v>0.66356654481078481</v>
      </c>
      <c r="AN141" s="171">
        <f t="shared" ref="AN141:BE141" si="63">AM141+AN140</f>
        <v>0.66553371989548671</v>
      </c>
      <c r="AO141" s="171">
        <f t="shared" si="63"/>
        <v>0.66750089498018861</v>
      </c>
      <c r="AP141" s="171">
        <f t="shared" si="63"/>
        <v>0.66946807006489051</v>
      </c>
      <c r="AQ141" s="171">
        <f t="shared" si="63"/>
        <v>0.67894556903732561</v>
      </c>
      <c r="AR141" s="171">
        <f t="shared" si="63"/>
        <v>0.68701374287742012</v>
      </c>
      <c r="AS141" s="171">
        <f t="shared" si="63"/>
        <v>0.69578254700758302</v>
      </c>
      <c r="AT141" s="171">
        <f t="shared" si="63"/>
        <v>0.71387455930950294</v>
      </c>
      <c r="AU141" s="171">
        <f t="shared" si="63"/>
        <v>0.73196657161142287</v>
      </c>
      <c r="AV141" s="171">
        <f t="shared" si="63"/>
        <v>0.75129623136044488</v>
      </c>
      <c r="AW141" s="171">
        <f t="shared" si="63"/>
        <v>0.77192899268262982</v>
      </c>
      <c r="AX141" s="171">
        <f t="shared" si="63"/>
        <v>0.79256175400481477</v>
      </c>
      <c r="AY141" s="171">
        <f t="shared" si="63"/>
        <v>0.81863735767769219</v>
      </c>
      <c r="AZ141" s="171">
        <f t="shared" si="63"/>
        <v>0.84025773178497565</v>
      </c>
      <c r="BA141" s="171">
        <f t="shared" si="63"/>
        <v>0.86201921661986969</v>
      </c>
      <c r="BB141" s="171">
        <f t="shared" si="63"/>
        <v>0.92613334568927408</v>
      </c>
      <c r="BC141" s="171">
        <f t="shared" si="63"/>
        <v>0.97351689412555187</v>
      </c>
      <c r="BD141" s="171">
        <f t="shared" si="63"/>
        <v>0.99708035185015331</v>
      </c>
      <c r="BE141" s="188">
        <f t="shared" si="63"/>
        <v>1</v>
      </c>
    </row>
    <row r="142" spans="1:69" ht="18" x14ac:dyDescent="0.35">
      <c r="A142" s="144"/>
      <c r="B142" s="195"/>
      <c r="C142" s="2" t="s">
        <v>173</v>
      </c>
      <c r="D142" s="113"/>
      <c r="E142" s="113"/>
      <c r="F142" s="113"/>
      <c r="G142" s="113"/>
      <c r="H142" s="114"/>
      <c r="I142" s="119"/>
      <c r="J142" s="116"/>
      <c r="K142" s="117" t="s">
        <v>23</v>
      </c>
      <c r="M142" s="146">
        <v>0</v>
      </c>
      <c r="N142" s="172">
        <f>N138</f>
        <v>2.3304223768016434E-2</v>
      </c>
      <c r="O142" s="173">
        <f>O138</f>
        <v>1.9792855195785622E-2</v>
      </c>
      <c r="P142" s="173">
        <f>P138+1%</f>
        <v>5.3554268346344268E-2</v>
      </c>
      <c r="Q142" s="173">
        <f t="shared" ref="Q142:Z142" si="64">Q138+1%</f>
        <v>6.4310252086964545E-2</v>
      </c>
      <c r="R142" s="173">
        <f t="shared" si="64"/>
        <v>3.8541078945111475E-2</v>
      </c>
      <c r="S142" s="173">
        <f t="shared" si="64"/>
        <v>7.5998214696338343E-2</v>
      </c>
      <c r="T142" s="173">
        <f t="shared" si="64"/>
        <v>2.7541508275450891E-2</v>
      </c>
      <c r="U142" s="173">
        <f t="shared" si="64"/>
        <v>2.7153433663417235E-2</v>
      </c>
      <c r="V142" s="173">
        <f t="shared" si="64"/>
        <v>1.6553004333077815E-2</v>
      </c>
      <c r="W142" s="173">
        <f t="shared" si="64"/>
        <v>2.1853363460670024E-2</v>
      </c>
      <c r="X142" s="173">
        <f t="shared" si="64"/>
        <v>2.7153363460670023E-2</v>
      </c>
      <c r="Y142" s="173">
        <f>Y138-1%</f>
        <v>3.3445784745752931E-2</v>
      </c>
      <c r="Z142" s="173">
        <f>Z138-1%</f>
        <v>6.7708527932698159E-2</v>
      </c>
      <c r="AA142" s="173">
        <f>AA138-1.6%</f>
        <v>1.4095475679042221E-2</v>
      </c>
      <c r="AB142" s="173">
        <v>2.5000000000000001E-3</v>
      </c>
      <c r="AC142" s="173">
        <v>2.5000000000000001E-3</v>
      </c>
      <c r="AD142" s="173">
        <v>6.7495537842216791E-3</v>
      </c>
      <c r="AE142" s="173">
        <v>6.7495537842216791E-3</v>
      </c>
      <c r="AF142" s="173">
        <v>6.7495537842216791E-3</v>
      </c>
      <c r="AG142" s="173">
        <v>6.7495537842216791E-3</v>
      </c>
      <c r="AH142" s="173">
        <v>6.7495537842216791E-3</v>
      </c>
      <c r="AI142" s="173">
        <v>6.7495537842216791E-3</v>
      </c>
      <c r="AJ142" s="173">
        <v>6.7495537842216791E-3</v>
      </c>
      <c r="AK142" s="173">
        <v>6.7495537842216791E-3</v>
      </c>
      <c r="AL142" s="173">
        <v>6.7495537842216791E-3</v>
      </c>
      <c r="AM142" s="173">
        <v>6.7495537842216791E-3</v>
      </c>
      <c r="AN142" s="194">
        <v>6.7495537842216791E-3</v>
      </c>
      <c r="AO142" s="194">
        <v>6.7495537842216791E-3</v>
      </c>
      <c r="AP142" s="120"/>
      <c r="AQ142" s="120"/>
      <c r="AR142" s="120"/>
      <c r="AS142" s="120"/>
      <c r="AT142" s="120"/>
      <c r="AU142" s="120"/>
      <c r="AV142" s="120"/>
      <c r="AW142" s="120"/>
      <c r="AX142" s="120"/>
      <c r="AY142" s="120"/>
      <c r="AZ142" s="120"/>
      <c r="BA142" s="120"/>
      <c r="BB142" s="120"/>
      <c r="BC142" s="120"/>
      <c r="BD142" s="120"/>
      <c r="BE142" s="189"/>
    </row>
    <row r="143" spans="1:69" ht="18.600000000000001" thickBot="1" x14ac:dyDescent="0.4">
      <c r="C143" s="113"/>
      <c r="D143" s="113"/>
      <c r="E143" s="113"/>
      <c r="F143" s="113"/>
      <c r="G143" s="113"/>
      <c r="H143" s="121"/>
      <c r="I143" s="122"/>
      <c r="J143" s="123"/>
      <c r="K143" s="124" t="s">
        <v>24</v>
      </c>
      <c r="M143" s="146">
        <v>0</v>
      </c>
      <c r="N143" s="190">
        <f>N142</f>
        <v>2.3304223768016434E-2</v>
      </c>
      <c r="O143" s="191">
        <f>N143+O142</f>
        <v>4.3097078963802056E-2</v>
      </c>
      <c r="P143" s="191">
        <f t="shared" ref="P143:AL143" si="65">O143+P142</f>
        <v>9.6651347310146324E-2</v>
      </c>
      <c r="Q143" s="191">
        <f t="shared" si="65"/>
        <v>0.16096159939711085</v>
      </c>
      <c r="R143" s="191">
        <f t="shared" si="65"/>
        <v>0.19950267834222232</v>
      </c>
      <c r="S143" s="191">
        <f t="shared" si="65"/>
        <v>0.27550089303856068</v>
      </c>
      <c r="T143" s="191">
        <f t="shared" si="65"/>
        <v>0.30304240131401156</v>
      </c>
      <c r="U143" s="191">
        <f t="shared" si="65"/>
        <v>0.33019583497742877</v>
      </c>
      <c r="V143" s="191">
        <f t="shared" si="65"/>
        <v>0.3467488393105066</v>
      </c>
      <c r="W143" s="191">
        <f t="shared" si="65"/>
        <v>0.36860220277117661</v>
      </c>
      <c r="X143" s="191">
        <f t="shared" si="65"/>
        <v>0.39575556623184666</v>
      </c>
      <c r="Y143" s="191">
        <f t="shared" si="65"/>
        <v>0.42920135097759959</v>
      </c>
      <c r="Z143" s="191">
        <f t="shared" si="65"/>
        <v>0.49690987891029775</v>
      </c>
      <c r="AA143" s="191">
        <f t="shared" si="65"/>
        <v>0.51100535458933993</v>
      </c>
      <c r="AB143" s="191">
        <f t="shared" si="65"/>
        <v>0.51350535458933988</v>
      </c>
      <c r="AC143" s="191">
        <f t="shared" si="65"/>
        <v>0.51600535458933983</v>
      </c>
      <c r="AD143" s="191">
        <f t="shared" si="65"/>
        <v>0.52275490837356153</v>
      </c>
      <c r="AE143" s="191">
        <f t="shared" si="65"/>
        <v>0.52950446215778324</v>
      </c>
      <c r="AF143" s="191">
        <f t="shared" si="65"/>
        <v>0.53625401594200495</v>
      </c>
      <c r="AG143" s="191">
        <f t="shared" si="65"/>
        <v>0.54300356972622665</v>
      </c>
      <c r="AH143" s="191">
        <f t="shared" si="65"/>
        <v>0.54975312351044836</v>
      </c>
      <c r="AI143" s="191">
        <f t="shared" si="65"/>
        <v>0.55650267729467007</v>
      </c>
      <c r="AJ143" s="191">
        <f t="shared" si="65"/>
        <v>0.56325223107889177</v>
      </c>
      <c r="AK143" s="191">
        <f t="shared" si="65"/>
        <v>0.57000178486311348</v>
      </c>
      <c r="AL143" s="191">
        <f t="shared" si="65"/>
        <v>0.57675133864733519</v>
      </c>
      <c r="AM143" s="191">
        <f>AL143+AM142</f>
        <v>0.58350089243155689</v>
      </c>
      <c r="AN143" s="191">
        <f t="shared" ref="AN143:AO143" si="66">AM143+AN142</f>
        <v>0.5902504462157786</v>
      </c>
      <c r="AO143" s="191">
        <f t="shared" si="66"/>
        <v>0.59700000000000031</v>
      </c>
      <c r="AP143" s="125"/>
      <c r="AQ143" s="125"/>
      <c r="AR143" s="125"/>
      <c r="AS143" s="125"/>
      <c r="AT143" s="125"/>
      <c r="AU143" s="125"/>
      <c r="AV143" s="125"/>
      <c r="AW143" s="125"/>
      <c r="AX143" s="125"/>
      <c r="AY143" s="125"/>
      <c r="AZ143" s="125"/>
      <c r="BA143" s="125"/>
      <c r="BB143" s="125"/>
      <c r="BC143" s="125"/>
      <c r="BD143" s="125"/>
      <c r="BE143" s="192"/>
    </row>
    <row r="144" spans="1:69" ht="18" x14ac:dyDescent="0.35">
      <c r="C144" s="113"/>
      <c r="D144" s="113"/>
      <c r="E144" s="113"/>
      <c r="F144" s="113"/>
      <c r="G144" s="113"/>
    </row>
    <row r="145" spans="3:33" ht="18" x14ac:dyDescent="0.35">
      <c r="C145" s="113"/>
      <c r="D145" s="113"/>
      <c r="E145" s="113"/>
      <c r="F145" s="113"/>
      <c r="G145" s="113"/>
    </row>
    <row r="146" spans="3:33" ht="18" x14ac:dyDescent="0.35">
      <c r="C146" s="150"/>
      <c r="D146" s="150"/>
      <c r="E146" s="150"/>
      <c r="F146" s="150"/>
      <c r="G146" s="118"/>
      <c r="AG146" s="193">
        <f>59.7%-AC143</f>
        <v>8.0994645410660149E-2</v>
      </c>
    </row>
    <row r="147" spans="3:33" x14ac:dyDescent="0.3">
      <c r="AG147" s="193">
        <f>AG146/12</f>
        <v>6.7495537842216791E-3</v>
      </c>
    </row>
    <row r="148" spans="3:33" x14ac:dyDescent="0.3">
      <c r="J148" s="126"/>
    </row>
  </sheetData>
  <mergeCells count="21">
    <mergeCell ref="AP10:AT10"/>
    <mergeCell ref="AU10:AX10"/>
    <mergeCell ref="AY10:BB10"/>
    <mergeCell ref="BC10:BE10"/>
    <mergeCell ref="A8:G8"/>
    <mergeCell ref="N9:AM9"/>
    <mergeCell ref="B10:F10"/>
    <mergeCell ref="AD10:AG10"/>
    <mergeCell ref="AL10:AO10"/>
    <mergeCell ref="AN9:BE9"/>
    <mergeCell ref="AH10:AK10"/>
    <mergeCell ref="C146:F146"/>
    <mergeCell ref="N10:P10"/>
    <mergeCell ref="Q10:T10"/>
    <mergeCell ref="U10:X10"/>
    <mergeCell ref="Y10:AC10"/>
    <mergeCell ref="A131:G131"/>
    <mergeCell ref="A134:G134"/>
    <mergeCell ref="B12:F12"/>
    <mergeCell ref="A20:G20"/>
    <mergeCell ref="A122:G122"/>
  </mergeCells>
  <phoneticPr fontId="28" type="noConversion"/>
  <conditionalFormatting sqref="N15:AM137">
    <cfRule type="cellIs" dxfId="3" priority="4" operator="between">
      <formula>0.0000001</formula>
      <formula>1</formula>
    </cfRule>
  </conditionalFormatting>
  <conditionalFormatting sqref="AN14:BE75 AN81:AY83 BB81:BE83 AN77:AO78 AR76:BE80 AN80:AO80 AN84:BE133">
    <cfRule type="cellIs" dxfId="0" priority="3" operator="between">
      <formula>0.0000001</formula>
      <formula>1</formula>
    </cfRule>
  </conditionalFormatting>
  <conditionalFormatting sqref="AZ81:BA83">
    <cfRule type="cellIs" dxfId="2" priority="2" operator="between">
      <formula>0.0000001</formula>
      <formula>1</formula>
    </cfRule>
  </conditionalFormatting>
  <conditionalFormatting sqref="AP76:AQ80 AN76:AO76 AN79:AO79">
    <cfRule type="cellIs" dxfId="1" priority="1" operator="between">
      <formula>0.0000001</formula>
      <formula>1</formula>
    </cfRule>
  </conditionalFormatting>
  <pageMargins left="0.5" right="0.25" top="0.25" bottom="0.25" header="0" footer="0.3"/>
  <pageSetup paperSize="9" scale="27" fitToHeight="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Marudut Sagala</dc:creator>
  <cp:lastModifiedBy>Marudut Sagala</cp:lastModifiedBy>
  <cp:lastPrinted>2026-04-27T16:46:38Z</cp:lastPrinted>
  <dcterms:created xsi:type="dcterms:W3CDTF">2026-04-27T08:19:39Z</dcterms:created>
  <dcterms:modified xsi:type="dcterms:W3CDTF">2026-04-27T16:47:56Z</dcterms:modified>
</cp:coreProperties>
</file>